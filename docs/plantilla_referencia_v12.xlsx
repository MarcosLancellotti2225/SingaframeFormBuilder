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guntas" sheetId="1" state="visible" r:id="rId3"/>
    <sheet name="JSON del cliente" sheetId="2" state="visible" r:id="rId4"/>
    <sheet name="Cómo se completa" sheetId="3" state="visible" r:id="rId5"/>
    <sheet name="Listas" sheetId="4" state="hidden" r:id="rId6"/>
  </sheets>
  <definedNames>
    <definedName function="false" hidden="true" localSheetId="1" name="_xlnm._FilterDatabase" vbProcedure="false">'JSON del cliente'!$A$4:$C$87</definedName>
    <definedName function="false" hidden="true" localSheetId="0" name="_xlnm._FilterDatabase" vbProcedure="false">Preguntas!$A$5:$P$360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<sst xmlns="http://schemas.openxmlformats.org/spreadsheetml/2006/main" count="815" uniqueCount="321">
  <si>
    <t xml:space="preserve">Preguntas del formulario</t>
  </si>
  <si>
    <t xml:space="preserve">Una fila por pregunta, en el orden en que aparecen. Elegí la Sección y después la Subsección (la lista muestra solo las de esa sección). Para agregar: clic derecho en el número de fila → Insertar. Cada sección tiene su color (aunque agregues filas al final, toman el color de su sección). Al subir la planilla, la herramienta agrupa sola por Sección y Subsección.</t>
  </si>
  <si>
    <t xml:space="preserve">Ruta JSON: elegila de la lista (sale de tu JSON) y en "Valor en el JSON" vas a ver el dato de ejemplo. Si una ruta tiene [i], la pregunta se repite (ej. varios bienes). Las filas grises son datos ocultos: los completa Namirial.</t>
  </si>
  <si>
    <t xml:space="preserve">Sección</t>
  </si>
  <si>
    <t xml:space="preserve">Subsección</t>
  </si>
  <si>
    <t xml:space="preserve">Pregunta</t>
  </si>
  <si>
    <t xml:space="preserve">Tipo</t>
  </si>
  <si>
    <t xml:space="preserve">Opciones</t>
  </si>
  <si>
    <t xml:space="preserve">Obligatoria</t>
  </si>
  <si>
    <t xml:space="preserve">Viene prellenado</t>
  </si>
  <si>
    <t xml:space="preserve">Se puede editar</t>
  </si>
  <si>
    <t xml:space="preserve">Se muestra si</t>
  </si>
  <si>
    <t xml:space="preserve">Ruta JSON</t>
  </si>
  <si>
    <t xml:space="preserve">Valor en el JSON</t>
  </si>
  <si>
    <t xml:space="preserve">En el PDF va partido en</t>
  </si>
  <si>
    <t xml:space="preserve">Reglas / formato</t>
  </si>
  <si>
    <t xml:space="preserve">¿Va?</t>
  </si>
  <si>
    <t xml:space="preserve">Notas</t>
  </si>
  <si>
    <t xml:space="preserve">ID (no tocar)</t>
  </si>
  <si>
    <t xml:space="preserve">grupo</t>
  </si>
  <si>
    <t xml:space="preserve">seccion</t>
  </si>
  <si>
    <t xml:space="preserve">Datos del sistema (oculto)</t>
  </si>
  <si>
    <t xml:space="preserve">Encabezado</t>
  </si>
  <si>
    <t xml:space="preserve">Tipo de Formulario</t>
  </si>
  <si>
    <t xml:space="preserve">Dato oculto</t>
  </si>
  <si>
    <t xml:space="preserve">Sí</t>
  </si>
  <si>
    <t xml:space="preserve">No</t>
  </si>
  <si>
    <t xml:space="preserve">encabezado.codigoTipoFormulario</t>
  </si>
  <si>
    <t xml:space="preserve">Valor fijo</t>
  </si>
  <si>
    <t xml:space="preserve">Descripción Tipo Formulario</t>
  </si>
  <si>
    <t xml:space="preserve">encabezado.descripcionTipoFormulario</t>
  </si>
  <si>
    <t xml:space="preserve">Tipo Trámite</t>
  </si>
  <si>
    <t xml:space="preserve">encabezado.codigoTipoTramite</t>
  </si>
  <si>
    <t xml:space="preserve">Viene del sistema</t>
  </si>
  <si>
    <t xml:space="preserve">Descripción Tipo Trámite</t>
  </si>
  <si>
    <t xml:space="preserve">encabezado.descripcionTipoTramite</t>
  </si>
  <si>
    <t xml:space="preserve">Se calcula</t>
  </si>
  <si>
    <t xml:space="preserve">Del catálogo</t>
  </si>
  <si>
    <t xml:space="preserve">Identificador Transacción Interno</t>
  </si>
  <si>
    <t xml:space="preserve">encabezado.identificadorTransaccionInterno</t>
  </si>
  <si>
    <t xml:space="preserve">Correo electrónico</t>
  </si>
  <si>
    <t xml:space="preserve">encabezado.correoElectronico</t>
  </si>
  <si>
    <t xml:space="preserve">Código de Producto</t>
  </si>
  <si>
    <t xml:space="preserve">encabezado.codigoProducto</t>
  </si>
  <si>
    <t xml:space="preserve">Descripción Producto</t>
  </si>
  <si>
    <t xml:space="preserve">encabezado.descripcionProducto</t>
  </si>
  <si>
    <t xml:space="preserve">Nombre Completo Cliente</t>
  </si>
  <si>
    <t xml:space="preserve">encabezado.nombreCompletoCliente</t>
  </si>
  <si>
    <t xml:space="preserve">Identificador Archivo</t>
  </si>
  <si>
    <t xml:space="preserve">encabezado.identificadorArchivo</t>
  </si>
  <si>
    <t xml:space="preserve">Personas</t>
  </si>
  <si>
    <t xml:space="preserve">Código de Tipo de Persona</t>
  </si>
  <si>
    <t xml:space="preserve">datosFormulario.personas[0].codigoTipo</t>
  </si>
  <si>
    <t xml:space="preserve">ASG = Asegurado</t>
  </si>
  <si>
    <t xml:space="preserve">Descripción de Tipo de Persona</t>
  </si>
  <si>
    <t xml:space="preserve">datosFormulario.personas[0].descripcionTipo</t>
  </si>
  <si>
    <t xml:space="preserve">Descripción Tipo de Identificación</t>
  </si>
  <si>
    <t xml:space="preserve">datosFormulario.personas[0].descripcionTipoIdentificacion</t>
  </si>
  <si>
    <t xml:space="preserve">Descripción de Estado Civil</t>
  </si>
  <si>
    <t xml:space="preserve">datosFormulario.personas[0].descripcionEstadoCivil</t>
  </si>
  <si>
    <t xml:space="preserve">Descripción del Género</t>
  </si>
  <si>
    <t xml:space="preserve">datosFormulario.personas[0].descripcionGenero</t>
  </si>
  <si>
    <t xml:space="preserve">Nombre completo</t>
  </si>
  <si>
    <t xml:space="preserve">datosFormulario.personas[0].nombreCompleto</t>
  </si>
  <si>
    <t xml:space="preserve">Nombres + apellidos</t>
  </si>
  <si>
    <t xml:space="preserve">Edad</t>
  </si>
  <si>
    <t xml:space="preserve">datosFormulario.personas[0].edad</t>
  </si>
  <si>
    <t xml:space="preserve">A partir de la fecha de nacimiento</t>
  </si>
  <si>
    <t xml:space="preserve">Dirección y notificación</t>
  </si>
  <si>
    <t xml:space="preserve">Descripción Provincia</t>
  </si>
  <si>
    <t xml:space="preserve">datosFormulario.personas[0].direccion.descripcionProvincia</t>
  </si>
  <si>
    <t xml:space="preserve">Descripción Cantón</t>
  </si>
  <si>
    <t xml:space="preserve">datosFormulario.personas[0].direccion.descripcionCanton</t>
  </si>
  <si>
    <t xml:space="preserve">Descripción Distrito</t>
  </si>
  <si>
    <t xml:space="preserve">datosFormulario.personas[0].direccion.descripcionDistrito</t>
  </si>
  <si>
    <t xml:space="preserve">Datos Generales</t>
  </si>
  <si>
    <t xml:space="preserve">Información de la Solicitud</t>
  </si>
  <si>
    <t xml:space="preserve">Lugar</t>
  </si>
  <si>
    <t xml:space="preserve">Texto corto</t>
  </si>
  <si>
    <t xml:space="preserve">datosFormulario.datosGenerales.lugar</t>
  </si>
  <si>
    <t xml:space="preserve">máx. 50</t>
  </si>
  <si>
    <t xml:space="preserve">Fecha</t>
  </si>
  <si>
    <t xml:space="preserve">datosFormulario.datosGenerales.fechaCreacion</t>
  </si>
  <si>
    <t xml:space="preserve">día / mes / año</t>
  </si>
  <si>
    <t xml:space="preserve">Se completa con la fecha del día</t>
  </si>
  <si>
    <t xml:space="preserve">Información de Póliza</t>
  </si>
  <si>
    <t xml:space="preserve">Datos del Asesor</t>
  </si>
  <si>
    <t xml:space="preserve">Código de intermediario</t>
  </si>
  <si>
    <t xml:space="preserve">Número</t>
  </si>
  <si>
    <t xml:space="preserve">datosFormulario.datosGenerales.intermediario.codigoIntermediario</t>
  </si>
  <si>
    <t xml:space="preserve">6 dígitos</t>
  </si>
  <si>
    <t xml:space="preserve">Nombre del asesor</t>
  </si>
  <si>
    <t xml:space="preserve">datosFormulario.datosGenerales.intermediario.nombre</t>
  </si>
  <si>
    <t xml:space="preserve">Datos de la Póliza</t>
  </si>
  <si>
    <t xml:space="preserve">Número de póliza madre</t>
  </si>
  <si>
    <t xml:space="preserve">datosFormulario.datosGenerales.polizaMadre.numeroPoliza</t>
  </si>
  <si>
    <t xml:space="preserve">16 caracteres</t>
  </si>
  <si>
    <t xml:space="preserve">Vigencia desde</t>
  </si>
  <si>
    <t xml:space="preserve">datosFormulario.datosGenerales.polizaMadre.vigenciaDesde</t>
  </si>
  <si>
    <t xml:space="preserve">Vigencia hasta</t>
  </si>
  <si>
    <t xml:space="preserve">datosFormulario.datosGenerales.polizaMadre.vigenciaHasta</t>
  </si>
  <si>
    <t xml:space="preserve">Información adicional</t>
  </si>
  <si>
    <t xml:space="preserve">¿Tiene pólizas con otra compañía aseguradora?</t>
  </si>
  <si>
    <t xml:space="preserve">Sí / No</t>
  </si>
  <si>
    <t xml:space="preserve">datosFormulario.datosGenerales.datosAdicionales.indicadorOtraAseguradora</t>
  </si>
  <si>
    <t xml:space="preserve">Nombre de la compañía aseguradora</t>
  </si>
  <si>
    <t xml:space="preserve">si ¿Tiene pólizas con otra compañía aseguradora? = Sí</t>
  </si>
  <si>
    <t xml:space="preserve">datosFormulario.datosGenerales.datosAdicionales.nombreOtraAseguradora</t>
  </si>
  <si>
    <t xml:space="preserve">Datos del Asegurado</t>
  </si>
  <si>
    <t xml:space="preserve">Datos Asegurado</t>
  </si>
  <si>
    <t xml:space="preserve">Tipo de identificación</t>
  </si>
  <si>
    <t xml:space="preserve">Una opción de una lista</t>
  </si>
  <si>
    <t xml:space="preserve">Ver catálogo</t>
  </si>
  <si>
    <t xml:space="preserve">datosFormulario.personas[0].codigoTipoIdentificacion</t>
  </si>
  <si>
    <t xml:space="preserve">Número de identificación</t>
  </si>
  <si>
    <t xml:space="preserve">datosFormulario.personas[0].identificacion</t>
  </si>
  <si>
    <t xml:space="preserve">9 dígitos si es Física</t>
  </si>
  <si>
    <t xml:space="preserve">Primer nombre</t>
  </si>
  <si>
    <t xml:space="preserve">datosFormulario.personas[0].primerNombre</t>
  </si>
  <si>
    <t xml:space="preserve">Segundo nombre</t>
  </si>
  <si>
    <t xml:space="preserve">datosFormulario.personas[0].segundoNombre</t>
  </si>
  <si>
    <t xml:space="preserve">Primer apellido</t>
  </si>
  <si>
    <t xml:space="preserve">datosFormulario.personas[0].primerApellido</t>
  </si>
  <si>
    <t xml:space="preserve">Segundo apellido</t>
  </si>
  <si>
    <t xml:space="preserve">datosFormulario.personas[0].segundoApellido</t>
  </si>
  <si>
    <t xml:space="preserve">Fecha de nacimiento</t>
  </si>
  <si>
    <t xml:space="preserve">datosFormulario.personas[0].fechaNacimiento</t>
  </si>
  <si>
    <t xml:space="preserve">Una sola pregunta; en el PDF la reparte la herramienta</t>
  </si>
  <si>
    <t xml:space="preserve">Estado civil</t>
  </si>
  <si>
    <t xml:space="preserve">datosFormulario.personas[0].codigoEstadoCivil</t>
  </si>
  <si>
    <t xml:space="preserve">Género</t>
  </si>
  <si>
    <t xml:space="preserve">Una opción (botones)</t>
  </si>
  <si>
    <t xml:space="preserve">Masculino=M; Femenino=F</t>
  </si>
  <si>
    <t xml:space="preserve">datosFormulario.personas[0].codigoGenero</t>
  </si>
  <si>
    <t xml:space="preserve">Teléfono móvil</t>
  </si>
  <si>
    <t xml:space="preserve">Teléfono</t>
  </si>
  <si>
    <t xml:space="preserve">datosFormulario.personas[0].telefonoMovil</t>
  </si>
  <si>
    <t xml:space="preserve">8 dígitos</t>
  </si>
  <si>
    <t xml:space="preserve">Email</t>
  </si>
  <si>
    <t xml:space="preserve">datosFormulario.personas[0].correoElectronico</t>
  </si>
  <si>
    <t xml:space="preserve">Contacto y ubicación</t>
  </si>
  <si>
    <t xml:space="preserve">Provincia</t>
  </si>
  <si>
    <t xml:space="preserve">datosFormulario.personas[0].direccion.codigoProvincia</t>
  </si>
  <si>
    <t xml:space="preserve">Cantón</t>
  </si>
  <si>
    <t xml:space="preserve">datosFormulario.personas[0].direccion.codigoCanton</t>
  </si>
  <si>
    <t xml:space="preserve">Depende de la provincia</t>
  </si>
  <si>
    <t xml:space="preserve">Distrito</t>
  </si>
  <si>
    <t xml:space="preserve">datosFormulario.personas[0].direccion.codigoDistrito</t>
  </si>
  <si>
    <t xml:space="preserve">Depende del cantón</t>
  </si>
  <si>
    <t xml:space="preserve">Dirección exacta</t>
  </si>
  <si>
    <t xml:space="preserve">Texto largo</t>
  </si>
  <si>
    <t xml:space="preserve">datosFormulario.personas[0].direccion.direccionExacta</t>
  </si>
  <si>
    <t xml:space="preserve">máx. 100</t>
  </si>
  <si>
    <t xml:space="preserve">Preferencias de notificación</t>
  </si>
  <si>
    <t xml:space="preserve">Medio por el cual desea ser notificado</t>
  </si>
  <si>
    <t xml:space="preserve">Correo electrónico; Domicilio físico; Otro</t>
  </si>
  <si>
    <t xml:space="preserve">datosFormulario.personas[0].mediosNotificacion.codigoMedioNotificacion</t>
  </si>
  <si>
    <t xml:space="preserve">¿Dónde desea que le notifiquen?</t>
  </si>
  <si>
    <t xml:space="preserve">si Medio por el cual desea ser notificado no está vacío</t>
  </si>
  <si>
    <t xml:space="preserve">datosFormulario.personas[0].mediosNotificacion.datosNotificacion</t>
  </si>
  <si>
    <t xml:space="preserve">Información del riesgo</t>
  </si>
  <si>
    <t xml:space="preserve">Bienes por asegurar</t>
  </si>
  <si>
    <t xml:space="preserve">Descripción del bien</t>
  </si>
  <si>
    <t xml:space="preserve">datosFormulario.personas[0].riesgo.zonasRiesgo[0].bienesAsegurar[i].descripcionBien</t>
  </si>
  <si>
    <t xml:space="preserve">Se repite por cada bien</t>
  </si>
  <si>
    <t xml:space="preserve">Marca</t>
  </si>
  <si>
    <t xml:space="preserve">datosFormulario.personas[0].riesgo.zonasRiesgo[0].bienesAsegurar[i].marcaBien</t>
  </si>
  <si>
    <t xml:space="preserve">Modelo</t>
  </si>
  <si>
    <t xml:space="preserve">datosFormulario.personas[0].riesgo.zonasRiesgo[0].bienesAsegurar[i].modeloBien</t>
  </si>
  <si>
    <t xml:space="preserve">Número de serie</t>
  </si>
  <si>
    <t xml:space="preserve">datosFormulario.personas[0].riesgo.zonasRiesgo[0].bienesAsegurar[i].serieBien</t>
  </si>
  <si>
    <t xml:space="preserve">máx. 20</t>
  </si>
  <si>
    <t xml:space="preserve">Valor unitario</t>
  </si>
  <si>
    <t xml:space="preserve">datosFormulario.personas[0].riesgo.zonasRiesgo[0].bienesAsegurar[i].valorBien</t>
  </si>
  <si>
    <t xml:space="preserve">Año de fabricación</t>
  </si>
  <si>
    <t xml:space="preserve">datosFormulario.personas[0].riesgo.zonasRiesgo[0].bienesAsegurar[i].anoFabricacionBien</t>
  </si>
  <si>
    <t xml:space="preserve">4 dígitos</t>
  </si>
  <si>
    <t xml:space="preserve">Declaraciones y Autorización</t>
  </si>
  <si>
    <t xml:space="preserve">Autorizaciones</t>
  </si>
  <si>
    <t xml:space="preserve">Autorizo la revisión de los expedientes…</t>
  </si>
  <si>
    <t xml:space="preserve">Casilla de verificación</t>
  </si>
  <si>
    <t xml:space="preserve">datosFormulario.datosGenerales.indicadorClienteDaConsentimiento</t>
  </si>
  <si>
    <t xml:space="preserve">Declaraciones Legales</t>
  </si>
  <si>
    <t xml:space="preserve">He leído y comprendo el texto anterior… ¿Acepta usted estos términos?</t>
  </si>
  <si>
    <t xml:space="preserve">datosFormulario.datosGenerales.indicadorAceptaTerminos</t>
  </si>
  <si>
    <t xml:space="preserve">Firma del asegurado</t>
  </si>
  <si>
    <t xml:space="preserve">Firma</t>
  </si>
  <si>
    <t xml:space="preserve">No va al JSON</t>
  </si>
  <si>
    <t xml:space="preserve">Lo que trae tu JSON</t>
  </si>
  <si>
    <t xml:space="preserve">Se arma solo a partir del JSON que cargaste. No hace falta editar esta hoja.</t>
  </si>
  <si>
    <t xml:space="preserve">"¿Se usa?" dice si alguna pregunta ya tomó esa ruta. Las que quedan en No, Namirial las revisa y las suma a los datos ocultos si corresponde.</t>
  </si>
  <si>
    <t xml:space="preserve">Valor de ejemplo</t>
  </si>
  <si>
    <t xml:space="preserve">¿Se usa?</t>
  </si>
  <si>
    <t xml:space="preserve">EQE02</t>
  </si>
  <si>
    <t xml:space="preserve">Equipo Electrónico Modalidad Adhesión para Equipo Móvil y/o Portátil</t>
  </si>
  <si>
    <t xml:space="preserve">INS_SG_P14_EQE02_I_20260801_A_3_0031018555690</t>
  </si>
  <si>
    <t xml:space="preserve">aleulloaperez@gmail.com</t>
  </si>
  <si>
    <t xml:space="preserve">155</t>
  </si>
  <si>
    <t xml:space="preserve">Equipo Electrónico Riesgo Nombrado Equipo Movil y/o Portátil</t>
  </si>
  <si>
    <t xml:space="preserve">Alejandro Ulloa Pérez</t>
  </si>
  <si>
    <t xml:space="preserve">idNamirial</t>
  </si>
  <si>
    <t xml:space="preserve">San José</t>
  </si>
  <si>
    <t xml:space="preserve">2026-08-01</t>
  </si>
  <si>
    <t xml:space="preserve">1100340</t>
  </si>
  <si>
    <t xml:space="preserve">datosFormulario.datosGenerales.intermediario.identificacion</t>
  </si>
  <si>
    <t xml:space="preserve">110330564</t>
  </si>
  <si>
    <t xml:space="preserve">datosFormulario.datosGenerales.intermediario.codigoTipoIdentificacion</t>
  </si>
  <si>
    <t xml:space="preserve">Física Nacional</t>
  </si>
  <si>
    <t xml:space="preserve">Geonanny Ulloa Soto</t>
  </si>
  <si>
    <t xml:space="preserve">datosFormulario.datosGenerales.intermediario.correoElectronico</t>
  </si>
  <si>
    <t xml:space="preserve">gulloasoto@gmail.com</t>
  </si>
  <si>
    <t xml:space="preserve">0220EQE000123402</t>
  </si>
  <si>
    <t xml:space="preserve">2026-01-01</t>
  </si>
  <si>
    <t xml:space="preserve">2027-01-01</t>
  </si>
  <si>
    <t xml:space="preserve">datosFormulario.datosGenerales.polizaMadre.codigoTipoIdentificacionTomador</t>
  </si>
  <si>
    <t xml:space="preserve">Jurídica Nacional</t>
  </si>
  <si>
    <t xml:space="preserve">datosFormulario.datosGenerales.polizaMadre.identificacionTomador</t>
  </si>
  <si>
    <t xml:space="preserve">10 caracteres númericos</t>
  </si>
  <si>
    <t xml:space="preserve">datosFormulario.datosGenerales.polizaMadre.nombreTomador</t>
  </si>
  <si>
    <t xml:space="preserve">50 caracteres alfanuméricos</t>
  </si>
  <si>
    <t xml:space="preserve">datosFormulario.datosGenerales.polizaMadre.codigoMoneda</t>
  </si>
  <si>
    <t xml:space="preserve">Colones</t>
  </si>
  <si>
    <t xml:space="preserve">datosFormulario.datosGenerales.polizaMadre.codigoFormaPago</t>
  </si>
  <si>
    <t xml:space="preserve">Mensual</t>
  </si>
  <si>
    <t xml:space="preserve">datosFormulario.datosGenerales.polizaMadre.modalidad</t>
  </si>
  <si>
    <t xml:space="preserve">Asegurado (Modalidad Contributiva)</t>
  </si>
  <si>
    <t xml:space="preserve">datosFormulario.datosGenerales.polizaMadre.modalidadSeguro</t>
  </si>
  <si>
    <t xml:space="preserve">Riesgo Nombrado</t>
  </si>
  <si>
    <t xml:space="preserve">datosFormulario.datosGenerales.polizaMadre.cobEEquipoMovilPortatil</t>
  </si>
  <si>
    <t xml:space="preserve">E: Equipo móvil y/o portátil</t>
  </si>
  <si>
    <t xml:space="preserve">datosFormulario.datosGenerales.polizaMadre.cobEMontoAsegurado</t>
  </si>
  <si>
    <t xml:space="preserve">Monto Asegurado</t>
  </si>
  <si>
    <t xml:space="preserve">datosFormulario.datosGenerales.polizaMadre.montoIncluyeGastos</t>
  </si>
  <si>
    <t xml:space="preserve">Si</t>
  </si>
  <si>
    <t xml:space="preserve">Mapre S.A.</t>
  </si>
  <si>
    <t xml:space="preserve">datosFormulario.datosGenerales.datosAdicionales.polizaOtraAseguradora</t>
  </si>
  <si>
    <t xml:space="preserve">ASG</t>
  </si>
  <si>
    <t xml:space="preserve">Asegurado</t>
  </si>
  <si>
    <t xml:space="preserve">Física</t>
  </si>
  <si>
    <t xml:space="preserve">1103330564</t>
  </si>
  <si>
    <t xml:space="preserve">aulloap@grupoins.com</t>
  </si>
  <si>
    <t xml:space="preserve">Ulloa</t>
  </si>
  <si>
    <t xml:space="preserve">Pérez</t>
  </si>
  <si>
    <t xml:space="preserve">Alejandro</t>
  </si>
  <si>
    <t xml:space="preserve">1979-04-26</t>
  </si>
  <si>
    <t xml:space="preserve">47</t>
  </si>
  <si>
    <t xml:space="preserve">Casado</t>
  </si>
  <si>
    <t xml:space="preserve">Femenino</t>
  </si>
  <si>
    <t xml:space="preserve">datosFormulario.personas[0].peso</t>
  </si>
  <si>
    <t xml:space="preserve">84</t>
  </si>
  <si>
    <t xml:space="preserve">datosFormulario.personas[0].estatura</t>
  </si>
  <si>
    <t xml:space="preserve">1.8</t>
  </si>
  <si>
    <t xml:space="preserve">88400271</t>
  </si>
  <si>
    <t xml:space="preserve">datosFormulario.personas[0].codigoParentesco</t>
  </si>
  <si>
    <t xml:space="preserve">datosFormulario.personas[0].descripcionParentesco</t>
  </si>
  <si>
    <t xml:space="preserve">datosFormulario.personas[0].detalleOtroBeneficiario</t>
  </si>
  <si>
    <t xml:space="preserve">datosFormulario.personas[0].interesAsegurableOtroBeneficiario</t>
  </si>
  <si>
    <t xml:space="preserve">datosFormulario.personas[0].porcentaje</t>
  </si>
  <si>
    <t xml:space="preserve">datosFormulario.personas[0].indicadorAgregarDependienteMenor</t>
  </si>
  <si>
    <t xml:space="preserve">datosFormulario.personas[0].indicadorAgregarBeneficiario</t>
  </si>
  <si>
    <t xml:space="preserve">Ver catálogo adjunto</t>
  </si>
  <si>
    <t xml:space="preserve">Tibás</t>
  </si>
  <si>
    <t xml:space="preserve">San Juan</t>
  </si>
  <si>
    <t xml:space="preserve">400 metros este de Municipalidad</t>
  </si>
  <si>
    <t xml:space="preserve">datosFormulario.personas[0].direccion.telefonoCelular</t>
  </si>
  <si>
    <t xml:space="preserve">8840-2015</t>
  </si>
  <si>
    <t xml:space="preserve">datosFormulario.personas[0].direccion.telefonoOficina</t>
  </si>
  <si>
    <t xml:space="preserve">2287-6000</t>
  </si>
  <si>
    <t xml:space="preserve">datosFormulario.personas[0].direccion.telefonoTrabajo</t>
  </si>
  <si>
    <t xml:space="preserve">2241-9658</t>
  </si>
  <si>
    <t xml:space="preserve">Correo Electrónico</t>
  </si>
  <si>
    <t xml:space="preserve">datosFormulario.personas[0].mediosNotificacion.medioNotificacion</t>
  </si>
  <si>
    <t xml:space="preserve">datosFormulario.personas[0].riesgo.zonasRiesgo[0].consecutivo</t>
  </si>
  <si>
    <t xml:space="preserve">0001</t>
  </si>
  <si>
    <t xml:space="preserve">Televisor</t>
  </si>
  <si>
    <t xml:space="preserve">Samsung</t>
  </si>
  <si>
    <t xml:space="preserve">AT2251</t>
  </si>
  <si>
    <t xml:space="preserve">987564321S</t>
  </si>
  <si>
    <t xml:space="preserve">500000</t>
  </si>
  <si>
    <t xml:space="preserve">2025</t>
  </si>
  <si>
    <t xml:space="preserve">datosFormulario.personas[0].riesgo.zonasRiesgo[0].bienesAsegurar[i].tipoEquipoBien</t>
  </si>
  <si>
    <t xml:space="preserve">Equipo Fijo</t>
  </si>
  <si>
    <t xml:space="preserve">Columna</t>
  </si>
  <si>
    <t xml:space="preserve">Qué poner</t>
  </si>
  <si>
    <t xml:space="preserve">En el machote del INS</t>
  </si>
  <si>
    <t xml:space="preserve">La pantalla del formulario. Elegila de la lista; se puede escribir una nueva.</t>
  </si>
  <si>
    <t xml:space="preserve">Pasos Formulario</t>
  </si>
  <si>
    <t xml:space="preserve">El bloque dentro de la pantalla. La lista muestra solo las de la sección elegida.</t>
  </si>
  <si>
    <t xml:space="preserve">Cómo la ve la persona.</t>
  </si>
  <si>
    <t xml:space="preserve">Nombre del campo en formulario</t>
  </si>
  <si>
    <t xml:space="preserve">De la lista. Una fecha es una sola pregunta de tipo Fecha.</t>
  </si>
  <si>
    <t xml:space="preserve">Tipo de dato</t>
  </si>
  <si>
    <t xml:space="preserve">Para listas: opción=código separadas por punto y coma. Ej.: Masculino=M; Femenino=F. O "Ver catálogo".</t>
  </si>
  <si>
    <t xml:space="preserve">Valor (una fila por opción)</t>
  </si>
  <si>
    <t xml:space="preserve">Sí / No.</t>
  </si>
  <si>
    <t xml:space="preserve">Obligatorio (Both / WEB / JSON / None)</t>
  </si>
  <si>
    <t xml:space="preserve">Viene prellenado / Se puede editar</t>
  </si>
  <si>
    <t xml:space="preserve">Sí / No en cada una.</t>
  </si>
  <si>
    <t xml:space="preserve">Visualización (Disabled / Dato Prellenado / editable)</t>
  </si>
  <si>
    <t xml:space="preserve">Si depende de otra respuesta. Ej.: si ¿Tiene pólizas con otra compañía aseguradora? = Sí</t>
  </si>
  <si>
    <t xml:space="preserve">Regla</t>
  </si>
  <si>
    <t xml:space="preserve">De la lista: sale de tu JSON. [i] = se repite (ej. bienes).</t>
  </si>
  <si>
    <t xml:space="preserve">Nombre de la sección del JSON</t>
  </si>
  <si>
    <t xml:space="preserve">Se completa solo. Si dice "no está en el JSON", revisá la ruta.</t>
  </si>
  <si>
    <t xml:space="preserve">Solo si en el PDF va en varios casilleros. Ej.: día / mes / año.</t>
  </si>
  <si>
    <t xml:space="preserve">Nombre en PDF</t>
  </si>
  <si>
    <t xml:space="preserve">Ej.: 9 dígitos · máx. 50 · email.</t>
  </si>
  <si>
    <t xml:space="preserve">No = se saca del formulario.</t>
  </si>
  <si>
    <t xml:space="preserve">Lo usa la herramienta para no perder lo ya conectado. En filas nuevas, dejalo vacío.</t>
  </si>
  <si>
    <t xml:space="preserve">Filas grises</t>
  </si>
  <si>
    <t xml:space="preserve">Datos ocultos (Datos del sistema). Los completa Namirial.</t>
  </si>
  <si>
    <t xml:space="preserve">Pasos / Sección = JSON</t>
  </si>
  <si>
    <t xml:space="preserve">Secciones (únicas)</t>
  </si>
  <si>
    <t xml:space="preserve">Datos del Tomador</t>
  </si>
  <si>
    <t xml:space="preserve">Datos del Dependiente</t>
  </si>
  <si>
    <t xml:space="preserve">Datos del Beneficiario</t>
  </si>
  <si>
    <t xml:space="preserve">Datos Tomador</t>
  </si>
  <si>
    <t xml:space="preserve">Datos Dependiente</t>
  </si>
  <si>
    <t xml:space="preserve">Datos Beneficiario</t>
  </si>
  <si>
    <t xml:space="preserve">Coberturas Básicas</t>
  </si>
  <si>
    <t xml:space="preserve">Coberturas Adicionales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</si>
</sst>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6941C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475467"/>
      </patternFill>
    </fill>
    <fill>
      <patternFill patternType="solid">
        <fgColor rgb="FF6941C6"/>
        <bgColor rgb="FF475467"/>
      </patternFill>
    </fill>
    <fill>
      <patternFill patternType="solid">
        <fgColor rgb="FF2E7D32"/>
        <bgColor rgb="FF067647"/>
      </patternFill>
    </fill>
    <fill>
      <patternFill patternType="solid">
        <fgColor rgb="FF98A2B3"/>
        <bgColor rgb="FF7A9C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DF7F8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5F0FC"/>
          <bgColor rgb="FF000000"/>
        </patternFill>
      </fill>
    </dxf>
    <dxf>
      <fill>
        <patternFill patternType="solid">
          <fgColor rgb="FFFCF0F3"/>
          <bgColor rgb="FF000000"/>
        </patternFill>
      </fill>
    </dxf>
    <dxf>
      <fill>
        <patternFill patternType="solid">
          <fgColor rgb="FFFEF6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941C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98A2B3"/>
          <bgColor rgb="FF000000"/>
        </patternFill>
      </fill>
    </dxf>
    <dxf>
      <font>
        <name val="Arial"/>
        <charset val="1"/>
        <family val="0"/>
        <color rgb="FF475467"/>
      </font>
      <fill>
        <patternFill>
          <bgColor rgb="FFF2F4F7"/>
        </patternFill>
      </fill>
    </dxf>
    <dxf>
      <fill>
        <patternFill>
          <bgColor rgb="FFEEF4FC"/>
        </patternFill>
      </fill>
    </dxf>
    <dxf>
      <fill>
        <patternFill>
          <bgColor rgb="FFEEF8F1"/>
        </patternFill>
      </fill>
    </dxf>
    <dxf>
      <fill>
        <patternFill>
          <bgColor rgb="FFFEF6EA"/>
        </patternFill>
      </fill>
    </dxf>
    <dxf>
      <fill>
        <patternFill>
          <bgColor rgb="FFF5F0FC"/>
        </patternFill>
      </fill>
    </dxf>
    <dxf>
      <fill>
        <patternFill>
          <bgColor rgb="FFFCF0F3"/>
        </patternFill>
      </fill>
    </dxf>
    <dxf>
      <fill>
        <patternFill>
          <bgColor rgb="FFEDF7F8"/>
        </patternFill>
      </fill>
    </dxf>
    <dxf>
      <fill>
        <patternFill>
          <bgColor rgb="FFF8F5EC"/>
        </patternFill>
      </fill>
    </dxf>
    <dxf>
      <fill>
        <patternFill>
          <bgColor rgb="FFF1F2F9"/>
        </patternFill>
      </fill>
    </dxf>
    <dxf>
      <font>
        <name val="Arial"/>
        <charset val="1"/>
        <family val="0"/>
        <i val="1"/>
        <color rgb="FFB42318"/>
      </font>
    </dxf>
    <dxf>
      <font>
        <name val="Arial"/>
        <charset val="1"/>
        <family val="0"/>
        <color rgb="FFB0B7C3"/>
        <sz val="10"/>
      </font>
    </dxf>
    <dxf>
      <border diagonalUp="false" diagonalDown="false">
        <left/>
        <right/>
        <top style="medium">
          <color rgb="FF1F3A5F"/>
        </top>
        <bottom/>
        <diagonal/>
      </border>
    </dxf>
    <dxf>
      <border diagonalUp="false" diagonalDown="false">
        <left/>
        <right/>
        <top style="thin">
          <color rgb="FF7A9CC6"/>
        </top>
        <bottom/>
        <diagonal/>
      </border>
    </dxf>
    <dxf>
      <fill>
        <patternFill patternType="solid">
          <fgColor rgb="FFDCFAE6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067647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ont>
        <name val="Arial"/>
        <charset val="1"/>
        <family val="0"/>
        <color rgb="FF067647"/>
      </font>
      <fill>
        <patternFill>
          <bgColor rgb="FFDCFAE6"/>
        </patternFill>
      </fill>
    </dxf>
    <dxf>
      <font>
        <name val="Arial"/>
        <charset val="1"/>
        <family val="0"/>
        <color rgb="FFB54708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5EC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B0B7C3"/>
      <rgbColor rgb="FF808080"/>
      <rgbColor rgb="FF7A9CC6"/>
      <rgbColor rgb="FFB54708"/>
      <rgbColor rgb="FFFEF0C7"/>
      <rgbColor rgb="FFDCFAE6"/>
      <rgbColor rgb="FF660066"/>
      <rgbColor rgb="FFFF8080"/>
      <rgbColor rgb="FF0066CC"/>
      <rgbColor rgb="FFD0D5DD"/>
      <rgbColor rgb="FF000080"/>
      <rgbColor rgb="FFFF00FF"/>
      <rgbColor rgb="FFF2F4F7"/>
      <rgbColor rgb="FF00FFFF"/>
      <rgbColor rgb="FF800080"/>
      <rgbColor rgb="FF800000"/>
      <rgbColor rgb="FF008080"/>
      <rgbColor rgb="FF0000FF"/>
      <rgbColor rgb="FF00CCFF"/>
      <rgbColor rgb="FFEDF7F8"/>
      <rgbColor rgb="FFEEF8F1"/>
      <rgbColor rgb="FFFEF6EA"/>
      <rgbColor rgb="FFEEF4FC"/>
      <rgbColor rgb="FFF5F0FC"/>
      <rgbColor rgb="FFF1F2F9"/>
      <rgbColor rgb="FFFCF0F3"/>
      <rgbColor rgb="FF3366FF"/>
      <rgbColor rgb="FF33CCCC"/>
      <rgbColor rgb="FF99CC00"/>
      <rgbColor rgb="FFFFCC00"/>
      <rgbColor rgb="FFFF9900"/>
      <rgbColor rgb="FFFF6600"/>
      <rgbColor rgb="FF475467"/>
      <rgbColor rgb="FF98A2B3"/>
      <rgbColor rgb="FF1F3A5F"/>
      <rgbColor rgb="FF2E7D32"/>
      <rgbColor rgb="FF003300"/>
      <rgbColor rgb="FF333300"/>
      <rgbColor rgb="FFB42318"/>
      <rgbColor rgb="FF993366"/>
      <rgbColor rgb="FF6941C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46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10"/>
    <col collapsed="false" customWidth="true" hidden="true" outlineLevel="0" max="18" min="17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4" t="s">
        <v>12</v>
      </c>
      <c r="K5" s="4" t="s">
        <v>13</v>
      </c>
      <c r="L5" s="5" t="s">
        <v>14</v>
      </c>
      <c r="M5" s="3" t="s">
        <v>15</v>
      </c>
      <c r="N5" s="3" t="s">
        <v>16</v>
      </c>
      <c r="O5" s="3" t="s">
        <v>17</v>
      </c>
      <c r="P5" s="6" t="s">
        <v>18</v>
      </c>
      <c r="Q5" s="7" t="s">
        <v>19</v>
      </c>
      <c r="R5" s="7" t="s">
        <v>20</v>
      </c>
    </row>
    <row r="6" customFormat="false" ht="15" hidden="false" customHeight="false" outlineLevel="0" collapsed="false">
      <c r="A6" s="8" t="s">
        <v>21</v>
      </c>
      <c r="B6" s="8" t="s">
        <v>22</v>
      </c>
      <c r="C6" s="8" t="s">
        <v>23</v>
      </c>
      <c r="D6" s="8" t="s">
        <v>24</v>
      </c>
      <c r="E6" s="8"/>
      <c r="F6" s="8"/>
      <c r="G6" s="8" t="s">
        <v>25</v>
      </c>
      <c r="H6" s="8" t="s">
        <v>26</v>
      </c>
      <c r="I6" s="8"/>
      <c r="J6" s="8" t="s">
        <v>27</v>
      </c>
      <c r="K6" s="9" t="str">
        <f aca="false">IF(J6="","",IFERROR(INDEX('JSON del cliente'!$B$5:$B$288,MATCH(J6,'JSON del cliente'!$A$5:$A$288,0)),"no está en el JSON"))</f>
        <v>EQE02</v>
      </c>
      <c r="L6" s="8"/>
      <c r="M6" s="8" t="s">
        <v>28</v>
      </c>
      <c r="N6" s="8" t="s">
        <v>25</v>
      </c>
      <c r="O6" s="8"/>
      <c r="P6" s="8"/>
      <c r="Q6" s="7" t="n">
        <f aca="false">1</f>
        <v>1</v>
      </c>
      <c r="R6" s="7" t="n">
        <f aca="false">IF($A6="","",IFERROR(INDEX(R$5:R5,MATCH($A6,$A$5:$A5,0)),MAX(R$5:R5)+1))</f>
        <v>1</v>
      </c>
    </row>
    <row r="7" customFormat="false" ht="35.05" hidden="false" customHeight="false" outlineLevel="0" collapsed="false">
      <c r="A7" s="8" t="s">
        <v>21</v>
      </c>
      <c r="B7" s="8" t="s">
        <v>22</v>
      </c>
      <c r="C7" s="8" t="s">
        <v>29</v>
      </c>
      <c r="D7" s="8" t="s">
        <v>24</v>
      </c>
      <c r="E7" s="8"/>
      <c r="F7" s="8"/>
      <c r="G7" s="8" t="s">
        <v>25</v>
      </c>
      <c r="H7" s="8" t="s">
        <v>26</v>
      </c>
      <c r="I7" s="8"/>
      <c r="J7" s="8" t="s">
        <v>30</v>
      </c>
      <c r="K7" s="9" t="str">
        <f aca="false">IF(J7="","",IFERROR(INDEX('JSON del cliente'!$B$5:$B$288,MATCH(J7,'JSON del cliente'!$A$5:$A$288,0)),"no está en el JSON"))</f>
        <v>Equipo Electrónico Modalidad Adhesión para Equipo Móvil y/o Portátil</v>
      </c>
      <c r="L7" s="8"/>
      <c r="M7" s="8" t="s">
        <v>28</v>
      </c>
      <c r="N7" s="8" t="s">
        <v>25</v>
      </c>
      <c r="O7" s="8"/>
      <c r="P7" s="8"/>
      <c r="Q7" s="7" t="n">
        <f aca="false">IF(AND($A7=$A6,$B7=$B6),Q6,Q6+1)</f>
        <v>1</v>
      </c>
      <c r="R7" s="7" t="n">
        <f aca="false">IF($A7="","",IFERROR(INDEX(R$5:R6,MATCH($A7,$A$5:$A6,0)),MAX(R$5:R6)+1))</f>
        <v>1</v>
      </c>
    </row>
    <row r="8" customFormat="false" ht="15" hidden="false" customHeight="false" outlineLevel="0" collapsed="false">
      <c r="A8" s="8" t="s">
        <v>21</v>
      </c>
      <c r="B8" s="8" t="s">
        <v>22</v>
      </c>
      <c r="C8" s="8" t="s">
        <v>31</v>
      </c>
      <c r="D8" s="8" t="s">
        <v>24</v>
      </c>
      <c r="E8" s="8"/>
      <c r="F8" s="8"/>
      <c r="G8" s="8" t="s">
        <v>25</v>
      </c>
      <c r="H8" s="8" t="s">
        <v>26</v>
      </c>
      <c r="I8" s="8"/>
      <c r="J8" s="8" t="s">
        <v>32</v>
      </c>
      <c r="K8" s="9" t="str">
        <f aca="false">IF(J8="","",IFERROR(INDEX('JSON del cliente'!$B$5:$B$288,MATCH(J8,'JSON del cliente'!$A$5:$A$288,0)),"no está en el JSON"))</f>
        <v>Ver catálogo</v>
      </c>
      <c r="L8" s="8"/>
      <c r="M8" s="8" t="s">
        <v>33</v>
      </c>
      <c r="N8" s="8" t="s">
        <v>25</v>
      </c>
      <c r="O8" s="8"/>
      <c r="P8" s="8"/>
      <c r="Q8" s="7" t="n">
        <f aca="false">IF(AND($A8=$A7,$B8=$B7),Q7,Q7+1)</f>
        <v>1</v>
      </c>
      <c r="R8" s="7" t="n">
        <f aca="false">IF($A8="","",IFERROR(INDEX(R$5:R7,MATCH($A8,$A$5:$A7,0)),MAX(R$5:R7)+1))</f>
        <v>1</v>
      </c>
    </row>
    <row r="9" customFormat="false" ht="15" hidden="false" customHeight="false" outlineLevel="0" collapsed="false">
      <c r="A9" s="8" t="s">
        <v>21</v>
      </c>
      <c r="B9" s="8" t="s">
        <v>22</v>
      </c>
      <c r="C9" s="8" t="s">
        <v>34</v>
      </c>
      <c r="D9" s="8" t="s">
        <v>24</v>
      </c>
      <c r="E9" s="8"/>
      <c r="F9" s="8"/>
      <c r="G9" s="8" t="s">
        <v>25</v>
      </c>
      <c r="H9" s="8" t="s">
        <v>26</v>
      </c>
      <c r="I9" s="8"/>
      <c r="J9" s="8" t="s">
        <v>35</v>
      </c>
      <c r="K9" s="9" t="str">
        <f aca="false">IF(J9="","",IFERROR(INDEX('JSON del cliente'!$B$5:$B$288,MATCH(J9,'JSON del cliente'!$A$5:$A$288,0)),"no está en el JSON"))</f>
        <v>Ver catálogo</v>
      </c>
      <c r="L9" s="8"/>
      <c r="M9" s="8" t="s">
        <v>36</v>
      </c>
      <c r="N9" s="8" t="s">
        <v>25</v>
      </c>
      <c r="O9" s="8" t="s">
        <v>37</v>
      </c>
      <c r="P9" s="8"/>
      <c r="Q9" s="7" t="n">
        <f aca="false">IF(AND($A9=$A8,$B9=$B8),Q8,Q8+1)</f>
        <v>1</v>
      </c>
      <c r="R9" s="7" t="n">
        <f aca="false">IF($A9="","",IFERROR(INDEX(R$5:R8,MATCH($A9,$A$5:$A8,0)),MAX(R$5:R8)+1))</f>
        <v>1</v>
      </c>
    </row>
    <row r="10" customFormat="false" ht="23.85" hidden="false" customHeight="false" outlineLevel="0" collapsed="false">
      <c r="A10" s="8" t="s">
        <v>21</v>
      </c>
      <c r="B10" s="8" t="s">
        <v>22</v>
      </c>
      <c r="C10" s="8" t="s">
        <v>38</v>
      </c>
      <c r="D10" s="8" t="s">
        <v>24</v>
      </c>
      <c r="E10" s="8"/>
      <c r="F10" s="8"/>
      <c r="G10" s="8" t="s">
        <v>25</v>
      </c>
      <c r="H10" s="8" t="s">
        <v>26</v>
      </c>
      <c r="I10" s="8"/>
      <c r="J10" s="8" t="s">
        <v>39</v>
      </c>
      <c r="K10" s="9" t="str">
        <f aca="false">IF(J10="","",IFERROR(INDEX('JSON del cliente'!$B$5:$B$288,MATCH(J10,'JSON del cliente'!$A$5:$A$288,0)),"no está en el JSON"))</f>
        <v>INS_SG_P14_EQE02_I_20260801_A_3_0031018555690</v>
      </c>
      <c r="L10" s="8"/>
      <c r="M10" s="8" t="s">
        <v>33</v>
      </c>
      <c r="N10" s="8" t="s">
        <v>25</v>
      </c>
      <c r="O10" s="8"/>
      <c r="P10" s="8"/>
      <c r="Q10" s="7" t="n">
        <f aca="false">IF(AND($A10=$A9,$B10=$B9),Q9,Q9+1)</f>
        <v>1</v>
      </c>
      <c r="R10" s="7" t="n">
        <f aca="false">IF($A10="","",IFERROR(INDEX(R$5:R9,MATCH($A10,$A$5:$A9,0)),MAX(R$5:R9)+1))</f>
        <v>1</v>
      </c>
    </row>
    <row r="11" customFormat="false" ht="15" hidden="false" customHeight="false" outlineLevel="0" collapsed="false">
      <c r="A11" s="8" t="s">
        <v>21</v>
      </c>
      <c r="B11" s="8" t="s">
        <v>22</v>
      </c>
      <c r="C11" s="8" t="s">
        <v>40</v>
      </c>
      <c r="D11" s="8" t="s">
        <v>24</v>
      </c>
      <c r="E11" s="8"/>
      <c r="F11" s="8"/>
      <c r="G11" s="8" t="s">
        <v>25</v>
      </c>
      <c r="H11" s="8" t="s">
        <v>26</v>
      </c>
      <c r="I11" s="8"/>
      <c r="J11" s="8" t="s">
        <v>41</v>
      </c>
      <c r="K11" s="9" t="str">
        <f aca="false">IF(J11="","",IFERROR(INDEX('JSON del cliente'!$B$5:$B$288,MATCH(J11,'JSON del cliente'!$A$5:$A$288,0)),"no está en el JSON"))</f>
        <v>aleulloaperez@gmail.com</v>
      </c>
      <c r="L11" s="8"/>
      <c r="M11" s="8" t="s">
        <v>33</v>
      </c>
      <c r="N11" s="8" t="s">
        <v>25</v>
      </c>
      <c r="O11" s="8"/>
      <c r="P11" s="8"/>
      <c r="Q11" s="7" t="n">
        <f aca="false">IF(AND($A11=$A10,$B11=$B10),Q10,Q10+1)</f>
        <v>1</v>
      </c>
      <c r="R11" s="7" t="n">
        <f aca="false">IF($A11="","",IFERROR(INDEX(R$5:R10,MATCH($A11,$A$5:$A10,0)),MAX(R$5:R10)+1))</f>
        <v>1</v>
      </c>
    </row>
    <row r="12" customFormat="false" ht="15" hidden="false" customHeight="false" outlineLevel="0" collapsed="false">
      <c r="A12" s="8" t="s">
        <v>21</v>
      </c>
      <c r="B12" s="8" t="s">
        <v>22</v>
      </c>
      <c r="C12" s="8" t="s">
        <v>42</v>
      </c>
      <c r="D12" s="8" t="s">
        <v>24</v>
      </c>
      <c r="E12" s="8"/>
      <c r="F12" s="8"/>
      <c r="G12" s="8" t="s">
        <v>25</v>
      </c>
      <c r="H12" s="8" t="s">
        <v>26</v>
      </c>
      <c r="I12" s="8"/>
      <c r="J12" s="8" t="s">
        <v>43</v>
      </c>
      <c r="K12" s="9" t="str">
        <f aca="false">IF(J12="","",IFERROR(INDEX('JSON del cliente'!$B$5:$B$288,MATCH(J12,'JSON del cliente'!$A$5:$A$288,0)),"no está en el JSON"))</f>
        <v>155</v>
      </c>
      <c r="L12" s="8"/>
      <c r="M12" s="8" t="s">
        <v>28</v>
      </c>
      <c r="N12" s="8" t="s">
        <v>25</v>
      </c>
      <c r="O12" s="8"/>
      <c r="P12" s="8"/>
      <c r="Q12" s="7" t="n">
        <f aca="false">IF(AND($A12=$A11,$B12=$B11),Q11,Q11+1)</f>
        <v>1</v>
      </c>
      <c r="R12" s="7" t="n">
        <f aca="false">IF($A12="","",IFERROR(INDEX(R$5:R11,MATCH($A12,$A$5:$A11,0)),MAX(R$5:R11)+1))</f>
        <v>1</v>
      </c>
    </row>
    <row r="13" customFormat="false" ht="35.05" hidden="false" customHeight="false" outlineLevel="0" collapsed="false">
      <c r="A13" s="8" t="s">
        <v>21</v>
      </c>
      <c r="B13" s="8" t="s">
        <v>22</v>
      </c>
      <c r="C13" s="8" t="s">
        <v>44</v>
      </c>
      <c r="D13" s="8" t="s">
        <v>24</v>
      </c>
      <c r="E13" s="8"/>
      <c r="F13" s="8"/>
      <c r="G13" s="8" t="s">
        <v>25</v>
      </c>
      <c r="H13" s="8" t="s">
        <v>26</v>
      </c>
      <c r="I13" s="8"/>
      <c r="J13" s="8" t="s">
        <v>45</v>
      </c>
      <c r="K13" s="9" t="str">
        <f aca="false">IF(J13="","",IFERROR(INDEX('JSON del cliente'!$B$5:$B$288,MATCH(J13,'JSON del cliente'!$A$5:$A$288,0)),"no está en el JSON"))</f>
        <v>Equipo Electrónico Riesgo Nombrado Equipo Movil y/o Portátil</v>
      </c>
      <c r="L13" s="8"/>
      <c r="M13" s="8" t="s">
        <v>28</v>
      </c>
      <c r="N13" s="8" t="s">
        <v>25</v>
      </c>
      <c r="O13" s="8"/>
      <c r="P13" s="8"/>
      <c r="Q13" s="7" t="n">
        <f aca="false">IF(AND($A13=$A12,$B13=$B12),Q12,Q12+1)</f>
        <v>1</v>
      </c>
      <c r="R13" s="7" t="n">
        <f aca="false">IF($A13="","",IFERROR(INDEX(R$5:R12,MATCH($A13,$A$5:$A12,0)),MAX(R$5:R12)+1))</f>
        <v>1</v>
      </c>
    </row>
    <row r="14" customFormat="false" ht="15" hidden="false" customHeight="false" outlineLevel="0" collapsed="false">
      <c r="A14" s="8" t="s">
        <v>21</v>
      </c>
      <c r="B14" s="8" t="s">
        <v>22</v>
      </c>
      <c r="C14" s="8" t="s">
        <v>46</v>
      </c>
      <c r="D14" s="8" t="s">
        <v>24</v>
      </c>
      <c r="E14" s="8"/>
      <c r="F14" s="8"/>
      <c r="G14" s="8" t="s">
        <v>25</v>
      </c>
      <c r="H14" s="8" t="s">
        <v>26</v>
      </c>
      <c r="I14" s="8"/>
      <c r="J14" s="8" t="s">
        <v>47</v>
      </c>
      <c r="K14" s="9" t="str">
        <f aca="false">IF(J14="","",IFERROR(INDEX('JSON del cliente'!$B$5:$B$288,MATCH(J14,'JSON del cliente'!$A$5:$A$288,0)),"no está en el JSON"))</f>
        <v>Alejandro Ulloa Pérez</v>
      </c>
      <c r="L14" s="8"/>
      <c r="M14" s="8" t="s">
        <v>33</v>
      </c>
      <c r="N14" s="8" t="s">
        <v>25</v>
      </c>
      <c r="O14" s="8"/>
      <c r="P14" s="8"/>
      <c r="Q14" s="7" t="n">
        <f aca="false">IF(AND($A14=$A13,$B14=$B13),Q13,Q13+1)</f>
        <v>1</v>
      </c>
      <c r="R14" s="7" t="n">
        <f aca="false">IF($A14="","",IFERROR(INDEX(R$5:R13,MATCH($A14,$A$5:$A13,0)),MAX(R$5:R13)+1))</f>
        <v>1</v>
      </c>
    </row>
    <row r="15" customFormat="false" ht="15" hidden="false" customHeight="false" outlineLevel="0" collapsed="false">
      <c r="A15" s="8" t="s">
        <v>21</v>
      </c>
      <c r="B15" s="8" t="s">
        <v>22</v>
      </c>
      <c r="C15" s="8" t="s">
        <v>48</v>
      </c>
      <c r="D15" s="8" t="s">
        <v>24</v>
      </c>
      <c r="E15" s="8"/>
      <c r="F15" s="8"/>
      <c r="G15" s="8" t="s">
        <v>25</v>
      </c>
      <c r="H15" s="8" t="s">
        <v>26</v>
      </c>
      <c r="I15" s="8"/>
      <c r="J15" s="8" t="s">
        <v>49</v>
      </c>
      <c r="K15" s="9" t="str">
        <f aca="false">IF(J15="","",IFERROR(INDEX('JSON del cliente'!$B$5:$B$288,MATCH(J15,'JSON del cliente'!$A$5:$A$288,0)),"no está en el JSON"))</f>
        <v>idNamirial</v>
      </c>
      <c r="L15" s="8"/>
      <c r="M15" s="8" t="s">
        <v>33</v>
      </c>
      <c r="N15" s="8" t="s">
        <v>25</v>
      </c>
      <c r="O15" s="8"/>
      <c r="P15" s="8"/>
      <c r="Q15" s="7" t="n">
        <f aca="false">IF(AND($A15=$A14,$B15=$B14),Q14,Q14+1)</f>
        <v>1</v>
      </c>
      <c r="R15" s="7" t="n">
        <f aca="false">IF($A15="","",IFERROR(INDEX(R$5:R14,MATCH($A15,$A$5:$A14,0)),MAX(R$5:R14)+1))</f>
        <v>1</v>
      </c>
    </row>
    <row r="16" customFormat="false" ht="15" hidden="false" customHeight="false" outlineLevel="0" collapsed="false">
      <c r="A16" s="8" t="s">
        <v>21</v>
      </c>
      <c r="B16" s="8" t="s">
        <v>50</v>
      </c>
      <c r="C16" s="8" t="s">
        <v>51</v>
      </c>
      <c r="D16" s="8" t="s">
        <v>24</v>
      </c>
      <c r="E16" s="8"/>
      <c r="F16" s="8"/>
      <c r="G16" s="8" t="s">
        <v>25</v>
      </c>
      <c r="H16" s="8" t="s">
        <v>26</v>
      </c>
      <c r="I16" s="8"/>
      <c r="J16" s="8" t="s">
        <v>52</v>
      </c>
      <c r="K16" s="9" t="str">
        <f aca="false">IF(J16="","",IFERROR(INDEX('JSON del cliente'!$B$5:$B$288,MATCH(J16,'JSON del cliente'!$A$5:$A$288,0)),"no está en el JSON"))</f>
        <v>ASG</v>
      </c>
      <c r="L16" s="8"/>
      <c r="M16" s="8" t="s">
        <v>28</v>
      </c>
      <c r="N16" s="8" t="s">
        <v>25</v>
      </c>
      <c r="O16" s="8" t="s">
        <v>53</v>
      </c>
      <c r="P16" s="8"/>
      <c r="Q16" s="7" t="n">
        <f aca="false">IF(AND($A16=$A15,$B16=$B15),Q15,Q15+1)</f>
        <v>2</v>
      </c>
      <c r="R16" s="7" t="n">
        <f aca="false">IF($A16="","",IFERROR(INDEX(R$5:R15,MATCH($A16,$A$5:$A15,0)),MAX(R$5:R15)+1))</f>
        <v>1</v>
      </c>
    </row>
    <row r="17" customFormat="false" ht="15" hidden="false" customHeight="false" outlineLevel="0" collapsed="false">
      <c r="A17" s="8" t="s">
        <v>21</v>
      </c>
      <c r="B17" s="8" t="s">
        <v>50</v>
      </c>
      <c r="C17" s="8" t="s">
        <v>54</v>
      </c>
      <c r="D17" s="8" t="s">
        <v>24</v>
      </c>
      <c r="E17" s="8"/>
      <c r="F17" s="8"/>
      <c r="G17" s="8" t="s">
        <v>25</v>
      </c>
      <c r="H17" s="8" t="s">
        <v>26</v>
      </c>
      <c r="I17" s="8"/>
      <c r="J17" s="8" t="s">
        <v>55</v>
      </c>
      <c r="K17" s="9" t="str">
        <f aca="false">IF(J17="","",IFERROR(INDEX('JSON del cliente'!$B$5:$B$288,MATCH(J17,'JSON del cliente'!$A$5:$A$288,0)),"no está en el JSON"))</f>
        <v>Asegurado</v>
      </c>
      <c r="L17" s="8"/>
      <c r="M17" s="8" t="s">
        <v>36</v>
      </c>
      <c r="N17" s="8" t="s">
        <v>25</v>
      </c>
      <c r="O17" s="8"/>
      <c r="P17" s="8"/>
      <c r="Q17" s="7" t="n">
        <f aca="false">IF(AND($A17=$A16,$B17=$B16),Q16,Q16+1)</f>
        <v>2</v>
      </c>
      <c r="R17" s="7" t="n">
        <f aca="false">IF($A17="","",IFERROR(INDEX(R$5:R16,MATCH($A17,$A$5:$A16,0)),MAX(R$5:R16)+1))</f>
        <v>1</v>
      </c>
    </row>
    <row r="18" customFormat="false" ht="23.85" hidden="false" customHeight="false" outlineLevel="0" collapsed="false">
      <c r="A18" s="8" t="s">
        <v>21</v>
      </c>
      <c r="B18" s="8" t="s">
        <v>50</v>
      </c>
      <c r="C18" s="8" t="s">
        <v>56</v>
      </c>
      <c r="D18" s="8" t="s">
        <v>24</v>
      </c>
      <c r="E18" s="8"/>
      <c r="F18" s="8"/>
      <c r="G18" s="8" t="s">
        <v>25</v>
      </c>
      <c r="H18" s="8" t="s">
        <v>26</v>
      </c>
      <c r="I18" s="8"/>
      <c r="J18" s="8" t="s">
        <v>57</v>
      </c>
      <c r="K18" s="9" t="str">
        <f aca="false">IF(J18="","",IFERROR(INDEX('JSON del cliente'!$B$5:$B$288,MATCH(J18,'JSON del cliente'!$A$5:$A$288,0)),"no está en el JSON"))</f>
        <v>Física</v>
      </c>
      <c r="L18" s="8"/>
      <c r="M18" s="8" t="s">
        <v>36</v>
      </c>
      <c r="N18" s="8" t="s">
        <v>25</v>
      </c>
      <c r="O18" s="8"/>
      <c r="P18" s="8"/>
      <c r="Q18" s="7" t="n">
        <f aca="false">IF(AND($A18=$A17,$B18=$B17),Q17,Q17+1)</f>
        <v>2</v>
      </c>
      <c r="R18" s="7" t="n">
        <f aca="false">IF($A18="","",IFERROR(INDEX(R$5:R17,MATCH($A18,$A$5:$A17,0)),MAX(R$5:R17)+1))</f>
        <v>1</v>
      </c>
    </row>
    <row r="19" customFormat="false" ht="15" hidden="false" customHeight="false" outlineLevel="0" collapsed="false">
      <c r="A19" s="8" t="s">
        <v>21</v>
      </c>
      <c r="B19" s="8" t="s">
        <v>50</v>
      </c>
      <c r="C19" s="8" t="s">
        <v>58</v>
      </c>
      <c r="D19" s="8" t="s">
        <v>24</v>
      </c>
      <c r="E19" s="8"/>
      <c r="F19" s="8"/>
      <c r="G19" s="8" t="s">
        <v>25</v>
      </c>
      <c r="H19" s="8" t="s">
        <v>26</v>
      </c>
      <c r="I19" s="8"/>
      <c r="J19" s="8" t="s">
        <v>59</v>
      </c>
      <c r="K19" s="9" t="str">
        <f aca="false">IF(J19="","",IFERROR(INDEX('JSON del cliente'!$B$5:$B$288,MATCH(J19,'JSON del cliente'!$A$5:$A$288,0)),"no está en el JSON"))</f>
        <v>Casado</v>
      </c>
      <c r="L19" s="8"/>
      <c r="M19" s="8" t="s">
        <v>36</v>
      </c>
      <c r="N19" s="8" t="s">
        <v>25</v>
      </c>
      <c r="O19" s="8"/>
      <c r="P19" s="8"/>
      <c r="Q19" s="7" t="n">
        <f aca="false">IF(AND($A19=$A18,$B19=$B18),Q18,Q18+1)</f>
        <v>2</v>
      </c>
      <c r="R19" s="7" t="n">
        <f aca="false">IF($A19="","",IFERROR(INDEX(R$5:R18,MATCH($A19,$A$5:$A18,0)),MAX(R$5:R18)+1))</f>
        <v>1</v>
      </c>
    </row>
    <row r="20" customFormat="false" ht="15" hidden="false" customHeight="false" outlineLevel="0" collapsed="false">
      <c r="A20" s="8" t="s">
        <v>21</v>
      </c>
      <c r="B20" s="8" t="s">
        <v>50</v>
      </c>
      <c r="C20" s="8" t="s">
        <v>60</v>
      </c>
      <c r="D20" s="8" t="s">
        <v>24</v>
      </c>
      <c r="E20" s="8"/>
      <c r="F20" s="8"/>
      <c r="G20" s="8" t="s">
        <v>25</v>
      </c>
      <c r="H20" s="8" t="s">
        <v>26</v>
      </c>
      <c r="I20" s="8"/>
      <c r="J20" s="8" t="s">
        <v>61</v>
      </c>
      <c r="K20" s="9" t="str">
        <f aca="false">IF(J20="","",IFERROR(INDEX('JSON del cliente'!$B$5:$B$288,MATCH(J20,'JSON del cliente'!$A$5:$A$288,0)),"no está en el JSON"))</f>
        <v>Femenino</v>
      </c>
      <c r="L20" s="8"/>
      <c r="M20" s="8" t="s">
        <v>36</v>
      </c>
      <c r="N20" s="8" t="s">
        <v>25</v>
      </c>
      <c r="O20" s="8"/>
      <c r="P20" s="8"/>
      <c r="Q20" s="7" t="n">
        <f aca="false">IF(AND($A20=$A19,$B20=$B19),Q19,Q19+1)</f>
        <v>2</v>
      </c>
      <c r="R20" s="7" t="n">
        <f aca="false">IF($A20="","",IFERROR(INDEX(R$5:R19,MATCH($A20,$A$5:$A19,0)),MAX(R$5:R19)+1))</f>
        <v>1</v>
      </c>
    </row>
    <row r="21" customFormat="false" ht="15" hidden="false" customHeight="false" outlineLevel="0" collapsed="false">
      <c r="A21" s="8" t="s">
        <v>21</v>
      </c>
      <c r="B21" s="8" t="s">
        <v>50</v>
      </c>
      <c r="C21" s="8" t="s">
        <v>62</v>
      </c>
      <c r="D21" s="8" t="s">
        <v>24</v>
      </c>
      <c r="E21" s="8"/>
      <c r="F21" s="8"/>
      <c r="G21" s="8" t="s">
        <v>25</v>
      </c>
      <c r="H21" s="8" t="s">
        <v>26</v>
      </c>
      <c r="I21" s="8"/>
      <c r="J21" s="8" t="s">
        <v>63</v>
      </c>
      <c r="K21" s="9" t="str">
        <f aca="false">IF(J21="","",IFERROR(INDEX('JSON del cliente'!$B$5:$B$288,MATCH(J21,'JSON del cliente'!$A$5:$A$288,0)),"no está en el JSON"))</f>
        <v>Alejandro Ulloa Pérez</v>
      </c>
      <c r="L21" s="8"/>
      <c r="M21" s="8" t="s">
        <v>36</v>
      </c>
      <c r="N21" s="8" t="s">
        <v>25</v>
      </c>
      <c r="O21" s="8" t="s">
        <v>64</v>
      </c>
      <c r="P21" s="8"/>
      <c r="Q21" s="7" t="n">
        <f aca="false">IF(AND($A21=$A20,$B21=$B20),Q20,Q20+1)</f>
        <v>2</v>
      </c>
      <c r="R21" s="7" t="n">
        <f aca="false">IF($A21="","",IFERROR(INDEX(R$5:R20,MATCH($A21,$A$5:$A20,0)),MAX(R$5:R20)+1))</f>
        <v>1</v>
      </c>
    </row>
    <row r="22" customFormat="false" ht="15" hidden="false" customHeight="false" outlineLevel="0" collapsed="false">
      <c r="A22" s="8" t="s">
        <v>21</v>
      </c>
      <c r="B22" s="8" t="s">
        <v>50</v>
      </c>
      <c r="C22" s="8" t="s">
        <v>65</v>
      </c>
      <c r="D22" s="8" t="s">
        <v>24</v>
      </c>
      <c r="E22" s="8"/>
      <c r="F22" s="8"/>
      <c r="G22" s="8" t="s">
        <v>25</v>
      </c>
      <c r="H22" s="8" t="s">
        <v>26</v>
      </c>
      <c r="I22" s="8"/>
      <c r="J22" s="8" t="s">
        <v>66</v>
      </c>
      <c r="K22" s="9" t="str">
        <f aca="false">IF(J22="","",IFERROR(INDEX('JSON del cliente'!$B$5:$B$288,MATCH(J22,'JSON del cliente'!$A$5:$A$288,0)),"no está en el JSON"))</f>
        <v>47</v>
      </c>
      <c r="L22" s="8"/>
      <c r="M22" s="8" t="s">
        <v>36</v>
      </c>
      <c r="N22" s="8" t="s">
        <v>25</v>
      </c>
      <c r="O22" s="8" t="s">
        <v>67</v>
      </c>
      <c r="P22" s="8"/>
      <c r="Q22" s="7" t="n">
        <f aca="false">IF(AND($A22=$A21,$B22=$B21),Q21,Q21+1)</f>
        <v>2</v>
      </c>
      <c r="R22" s="7" t="n">
        <f aca="false">IF($A22="","",IFERROR(INDEX(R$5:R21,MATCH($A22,$A$5:$A21,0)),MAX(R$5:R21)+1))</f>
        <v>1</v>
      </c>
    </row>
    <row r="23" customFormat="false" ht="23.85" hidden="false" customHeight="false" outlineLevel="0" collapsed="false">
      <c r="A23" s="8" t="s">
        <v>21</v>
      </c>
      <c r="B23" s="8" t="s">
        <v>68</v>
      </c>
      <c r="C23" s="8" t="s">
        <v>69</v>
      </c>
      <c r="D23" s="8" t="s">
        <v>24</v>
      </c>
      <c r="E23" s="8"/>
      <c r="F23" s="8"/>
      <c r="G23" s="8" t="s">
        <v>25</v>
      </c>
      <c r="H23" s="8" t="s">
        <v>26</v>
      </c>
      <c r="I23" s="8"/>
      <c r="J23" s="8" t="s">
        <v>70</v>
      </c>
      <c r="K23" s="9" t="str">
        <f aca="false">IF(J23="","",IFERROR(INDEX('JSON del cliente'!$B$5:$B$288,MATCH(J23,'JSON del cliente'!$A$5:$A$288,0)),"no está en el JSON"))</f>
        <v>San José</v>
      </c>
      <c r="L23" s="8"/>
      <c r="M23" s="8" t="s">
        <v>36</v>
      </c>
      <c r="N23" s="8" t="s">
        <v>25</v>
      </c>
      <c r="O23" s="8"/>
      <c r="P23" s="8"/>
      <c r="Q23" s="7" t="n">
        <f aca="false">IF(AND($A23=$A22,$B23=$B22),Q22,Q22+1)</f>
        <v>3</v>
      </c>
      <c r="R23" s="7" t="n">
        <f aca="false">IF($A23="","",IFERROR(INDEX(R$5:R22,MATCH($A23,$A$5:$A22,0)),MAX(R$5:R22)+1))</f>
        <v>1</v>
      </c>
    </row>
    <row r="24" customFormat="false" ht="23.85" hidden="false" customHeight="false" outlineLevel="0" collapsed="false">
      <c r="A24" s="8" t="s">
        <v>21</v>
      </c>
      <c r="B24" s="8" t="s">
        <v>68</v>
      </c>
      <c r="C24" s="8" t="s">
        <v>71</v>
      </c>
      <c r="D24" s="8" t="s">
        <v>24</v>
      </c>
      <c r="E24" s="8"/>
      <c r="F24" s="8"/>
      <c r="G24" s="8" t="s">
        <v>25</v>
      </c>
      <c r="H24" s="8" t="s">
        <v>26</v>
      </c>
      <c r="I24" s="8"/>
      <c r="J24" s="8" t="s">
        <v>72</v>
      </c>
      <c r="K24" s="9" t="str">
        <f aca="false">IF(J24="","",IFERROR(INDEX('JSON del cliente'!$B$5:$B$288,MATCH(J24,'JSON del cliente'!$A$5:$A$288,0)),"no está en el JSON"))</f>
        <v>Tibás</v>
      </c>
      <c r="L24" s="8"/>
      <c r="M24" s="8" t="s">
        <v>36</v>
      </c>
      <c r="N24" s="8" t="s">
        <v>25</v>
      </c>
      <c r="O24" s="8"/>
      <c r="P24" s="8"/>
      <c r="Q24" s="7" t="n">
        <f aca="false">IF(AND($A24=$A23,$B24=$B23),Q23,Q23+1)</f>
        <v>3</v>
      </c>
      <c r="R24" s="7" t="n">
        <f aca="false">IF($A24="","",IFERROR(INDEX(R$5:R23,MATCH($A24,$A$5:$A23,0)),MAX(R$5:R23)+1))</f>
        <v>1</v>
      </c>
    </row>
    <row r="25" customFormat="false" ht="23.85" hidden="false" customHeight="false" outlineLevel="0" collapsed="false">
      <c r="A25" s="8" t="s">
        <v>21</v>
      </c>
      <c r="B25" s="8" t="s">
        <v>68</v>
      </c>
      <c r="C25" s="8" t="s">
        <v>73</v>
      </c>
      <c r="D25" s="8" t="s">
        <v>24</v>
      </c>
      <c r="E25" s="8"/>
      <c r="F25" s="8"/>
      <c r="G25" s="8" t="s">
        <v>25</v>
      </c>
      <c r="H25" s="8" t="s">
        <v>26</v>
      </c>
      <c r="I25" s="8"/>
      <c r="J25" s="8" t="s">
        <v>74</v>
      </c>
      <c r="K25" s="9" t="str">
        <f aca="false">IF(J25="","",IFERROR(INDEX('JSON del cliente'!$B$5:$B$288,MATCH(J25,'JSON del cliente'!$A$5:$A$288,0)),"no está en el JSON"))</f>
        <v>San Juan</v>
      </c>
      <c r="L25" s="8"/>
      <c r="M25" s="8" t="s">
        <v>36</v>
      </c>
      <c r="N25" s="8" t="s">
        <v>25</v>
      </c>
      <c r="O25" s="8"/>
      <c r="P25" s="8"/>
      <c r="Q25" s="7" t="n">
        <f aca="false">IF(AND($A25=$A24,$B25=$B24),Q24,Q24+1)</f>
        <v>3</v>
      </c>
      <c r="R25" s="7" t="n">
        <f aca="false">IF($A25="","",IFERROR(INDEX(R$5:R24,MATCH($A25,$A$5:$A24,0)),MAX(R$5:R24)+1))</f>
        <v>1</v>
      </c>
    </row>
    <row r="26" customFormat="false" ht="15" hidden="false" customHeight="false" outlineLevel="0" collapsed="false">
      <c r="A26" s="8" t="s">
        <v>75</v>
      </c>
      <c r="B26" s="8" t="s">
        <v>76</v>
      </c>
      <c r="C26" s="8" t="s">
        <v>77</v>
      </c>
      <c r="D26" s="8" t="s">
        <v>78</v>
      </c>
      <c r="E26" s="8"/>
      <c r="F26" s="8" t="s">
        <v>25</v>
      </c>
      <c r="G26" s="8" t="s">
        <v>26</v>
      </c>
      <c r="H26" s="8" t="s">
        <v>25</v>
      </c>
      <c r="I26" s="8"/>
      <c r="J26" s="8" t="s">
        <v>79</v>
      </c>
      <c r="K26" s="9" t="str">
        <f aca="false">IF(J26="","",IFERROR(INDEX('JSON del cliente'!$B$5:$B$288,MATCH(J26,'JSON del cliente'!$A$5:$A$288,0)),"no está en el JSON"))</f>
        <v>San José</v>
      </c>
      <c r="L26" s="8"/>
      <c r="M26" s="8" t="s">
        <v>80</v>
      </c>
      <c r="N26" s="8" t="s">
        <v>25</v>
      </c>
      <c r="O26" s="8"/>
      <c r="P26" s="8"/>
      <c r="Q26" s="7" t="n">
        <f aca="false">IF(AND($A26=$A25,$B26=$B25),Q25,Q25+1)</f>
        <v>4</v>
      </c>
      <c r="R26" s="7" t="n">
        <f aca="false">IF($A26="","",IFERROR(INDEX(R$5:R25,MATCH($A26,$A$5:$A25,0)),MAX(R$5:R25)+1))</f>
        <v>2</v>
      </c>
    </row>
    <row r="27" customFormat="false" ht="15" hidden="false" customHeight="false" outlineLevel="0" collapsed="false">
      <c r="A27" s="8" t="s">
        <v>75</v>
      </c>
      <c r="B27" s="8" t="s">
        <v>76</v>
      </c>
      <c r="C27" s="8" t="s">
        <v>81</v>
      </c>
      <c r="D27" s="8" t="s">
        <v>81</v>
      </c>
      <c r="E27" s="8"/>
      <c r="F27" s="8" t="s">
        <v>25</v>
      </c>
      <c r="G27" s="8" t="s">
        <v>25</v>
      </c>
      <c r="H27" s="8" t="s">
        <v>25</v>
      </c>
      <c r="I27" s="8"/>
      <c r="J27" s="8" t="s">
        <v>82</v>
      </c>
      <c r="K27" s="9" t="str">
        <f aca="false">IF(J27="","",IFERROR(INDEX('JSON del cliente'!$B$5:$B$288,MATCH(J27,'JSON del cliente'!$A$5:$A$288,0)),"no está en el JSON"))</f>
        <v>2026-08-01</v>
      </c>
      <c r="L27" s="8" t="s">
        <v>83</v>
      </c>
      <c r="M27" s="8"/>
      <c r="N27" s="8" t="s">
        <v>25</v>
      </c>
      <c r="O27" s="8" t="s">
        <v>84</v>
      </c>
      <c r="P27" s="8"/>
      <c r="Q27" s="7" t="n">
        <f aca="false">IF(AND($A27=$A26,$B27=$B26),Q26,Q26+1)</f>
        <v>4</v>
      </c>
      <c r="R27" s="7" t="n">
        <f aca="false">IF($A27="","",IFERROR(INDEX(R$5:R26,MATCH($A27,$A$5:$A26,0)),MAX(R$5:R26)+1))</f>
        <v>2</v>
      </c>
    </row>
    <row r="28" customFormat="false" ht="23.85" hidden="false" customHeight="false" outlineLevel="0" collapsed="false">
      <c r="A28" s="8" t="s">
        <v>85</v>
      </c>
      <c r="B28" s="8" t="s">
        <v>86</v>
      </c>
      <c r="C28" s="8" t="s">
        <v>87</v>
      </c>
      <c r="D28" s="8" t="s">
        <v>88</v>
      </c>
      <c r="E28" s="8"/>
      <c r="F28" s="8" t="s">
        <v>25</v>
      </c>
      <c r="G28" s="8" t="s">
        <v>25</v>
      </c>
      <c r="H28" s="8" t="s">
        <v>26</v>
      </c>
      <c r="I28" s="8"/>
      <c r="J28" s="8" t="s">
        <v>89</v>
      </c>
      <c r="K28" s="9" t="str">
        <f aca="false">IF(J28="","",IFERROR(INDEX('JSON del cliente'!$B$5:$B$288,MATCH(J28,'JSON del cliente'!$A$5:$A$288,0)),"no está en el JSON"))</f>
        <v>1100340</v>
      </c>
      <c r="L28" s="8"/>
      <c r="M28" s="8" t="s">
        <v>90</v>
      </c>
      <c r="N28" s="8" t="s">
        <v>25</v>
      </c>
      <c r="O28" s="8"/>
      <c r="P28" s="8"/>
      <c r="Q28" s="7" t="n">
        <f aca="false">IF(AND($A28=$A27,$B28=$B27),Q27,Q27+1)</f>
        <v>5</v>
      </c>
      <c r="R28" s="7" t="n">
        <f aca="false">IF($A28="","",IFERROR(INDEX(R$5:R27,MATCH($A28,$A$5:$A27,0)),MAX(R$5:R27)+1))</f>
        <v>3</v>
      </c>
    </row>
    <row r="29" customFormat="false" ht="15" hidden="false" customHeight="false" outlineLevel="0" collapsed="false">
      <c r="A29" s="8" t="s">
        <v>85</v>
      </c>
      <c r="B29" s="8" t="s">
        <v>86</v>
      </c>
      <c r="C29" s="8" t="s">
        <v>91</v>
      </c>
      <c r="D29" s="8" t="s">
        <v>78</v>
      </c>
      <c r="E29" s="8"/>
      <c r="F29" s="8" t="s">
        <v>25</v>
      </c>
      <c r="G29" s="8" t="s">
        <v>25</v>
      </c>
      <c r="H29" s="8" t="s">
        <v>26</v>
      </c>
      <c r="I29" s="8"/>
      <c r="J29" s="8" t="s">
        <v>92</v>
      </c>
      <c r="K29" s="9" t="str">
        <f aca="false">IF(J29="","",IFERROR(INDEX('JSON del cliente'!$B$5:$B$288,MATCH(J29,'JSON del cliente'!$A$5:$A$288,0)),"no está en el JSON"))</f>
        <v>Geonanny Ulloa Soto</v>
      </c>
      <c r="L29" s="8"/>
      <c r="M29" s="8"/>
      <c r="N29" s="8" t="s">
        <v>25</v>
      </c>
      <c r="O29" s="8"/>
      <c r="P29" s="8"/>
      <c r="Q29" s="7" t="n">
        <f aca="false">IF(AND($A29=$A28,$B29=$B28),Q28,Q28+1)</f>
        <v>5</v>
      </c>
      <c r="R29" s="7" t="n">
        <f aca="false">IF($A29="","",IFERROR(INDEX(R$5:R28,MATCH($A29,$A$5:$A28,0)),MAX(R$5:R28)+1))</f>
        <v>3</v>
      </c>
    </row>
    <row r="30" customFormat="false" ht="23.85" hidden="false" customHeight="false" outlineLevel="0" collapsed="false">
      <c r="A30" s="8" t="s">
        <v>85</v>
      </c>
      <c r="B30" s="8" t="s">
        <v>93</v>
      </c>
      <c r="C30" s="8" t="s">
        <v>94</v>
      </c>
      <c r="D30" s="8" t="s">
        <v>78</v>
      </c>
      <c r="E30" s="8"/>
      <c r="F30" s="8" t="s">
        <v>25</v>
      </c>
      <c r="G30" s="8" t="s">
        <v>25</v>
      </c>
      <c r="H30" s="8" t="s">
        <v>26</v>
      </c>
      <c r="I30" s="8"/>
      <c r="J30" s="8" t="s">
        <v>95</v>
      </c>
      <c r="K30" s="9" t="str">
        <f aca="false">IF(J30="","",IFERROR(INDEX('JSON del cliente'!$B$5:$B$288,MATCH(J30,'JSON del cliente'!$A$5:$A$288,0)),"no está en el JSON"))</f>
        <v>0220EQE000123402</v>
      </c>
      <c r="L30" s="8"/>
      <c r="M30" s="8" t="s">
        <v>96</v>
      </c>
      <c r="N30" s="8" t="s">
        <v>25</v>
      </c>
      <c r="O30" s="8"/>
      <c r="P30" s="8"/>
      <c r="Q30" s="7" t="n">
        <f aca="false">IF(AND($A30=$A29,$B30=$B29),Q29,Q29+1)</f>
        <v>6</v>
      </c>
      <c r="R30" s="7" t="n">
        <f aca="false">IF($A30="","",IFERROR(INDEX(R$5:R29,MATCH($A30,$A$5:$A29,0)),MAX(R$5:R29)+1))</f>
        <v>3</v>
      </c>
    </row>
    <row r="31" customFormat="false" ht="23.85" hidden="false" customHeight="false" outlineLevel="0" collapsed="false">
      <c r="A31" s="8" t="s">
        <v>85</v>
      </c>
      <c r="B31" s="8" t="s">
        <v>93</v>
      </c>
      <c r="C31" s="8" t="s">
        <v>97</v>
      </c>
      <c r="D31" s="8" t="s">
        <v>81</v>
      </c>
      <c r="E31" s="8"/>
      <c r="F31" s="8" t="s">
        <v>25</v>
      </c>
      <c r="G31" s="8" t="s">
        <v>25</v>
      </c>
      <c r="H31" s="8" t="s">
        <v>26</v>
      </c>
      <c r="I31" s="8"/>
      <c r="J31" s="8" t="s">
        <v>98</v>
      </c>
      <c r="K31" s="9" t="str">
        <f aca="false">IF(J31="","",IFERROR(INDEX('JSON del cliente'!$B$5:$B$288,MATCH(J31,'JSON del cliente'!$A$5:$A$288,0)),"no está en el JSON"))</f>
        <v>2026-01-01</v>
      </c>
      <c r="L31" s="8"/>
      <c r="M31" s="8"/>
      <c r="N31" s="8" t="s">
        <v>25</v>
      </c>
      <c r="O31" s="8"/>
      <c r="P31" s="8"/>
      <c r="Q31" s="7" t="n">
        <f aca="false">IF(AND($A31=$A30,$B31=$B30),Q30,Q30+1)</f>
        <v>6</v>
      </c>
      <c r="R31" s="7" t="n">
        <f aca="false">IF($A31="","",IFERROR(INDEX(R$5:R30,MATCH($A31,$A$5:$A30,0)),MAX(R$5:R30)+1))</f>
        <v>3</v>
      </c>
    </row>
    <row r="32" customFormat="false" ht="23.85" hidden="false" customHeight="false" outlineLevel="0" collapsed="false">
      <c r="A32" s="8" t="s">
        <v>85</v>
      </c>
      <c r="B32" s="8" t="s">
        <v>93</v>
      </c>
      <c r="C32" s="8" t="s">
        <v>99</v>
      </c>
      <c r="D32" s="8" t="s">
        <v>81</v>
      </c>
      <c r="E32" s="8"/>
      <c r="F32" s="8" t="s">
        <v>25</v>
      </c>
      <c r="G32" s="8" t="s">
        <v>25</v>
      </c>
      <c r="H32" s="8" t="s">
        <v>26</v>
      </c>
      <c r="I32" s="8"/>
      <c r="J32" s="8" t="s">
        <v>100</v>
      </c>
      <c r="K32" s="9" t="str">
        <f aca="false">IF(J32="","",IFERROR(INDEX('JSON del cliente'!$B$5:$B$288,MATCH(J32,'JSON del cliente'!$A$5:$A$288,0)),"no está en el JSON"))</f>
        <v>2027-01-01</v>
      </c>
      <c r="L32" s="8"/>
      <c r="M32" s="8"/>
      <c r="N32" s="8" t="s">
        <v>25</v>
      </c>
      <c r="O32" s="8"/>
      <c r="P32" s="8"/>
      <c r="Q32" s="7" t="n">
        <f aca="false">IF(AND($A32=$A31,$B32=$B31),Q31,Q31+1)</f>
        <v>6</v>
      </c>
      <c r="R32" s="7" t="n">
        <f aca="false">IF($A32="","",IFERROR(INDEX(R$5:R31,MATCH($A32,$A$5:$A31,0)),MAX(R$5:R31)+1))</f>
        <v>3</v>
      </c>
    </row>
    <row r="33" customFormat="false" ht="23.85" hidden="false" customHeight="false" outlineLevel="0" collapsed="false">
      <c r="A33" s="8" t="s">
        <v>85</v>
      </c>
      <c r="B33" s="8" t="s">
        <v>101</v>
      </c>
      <c r="C33" s="8" t="s">
        <v>102</v>
      </c>
      <c r="D33" s="8" t="s">
        <v>103</v>
      </c>
      <c r="E33" s="8"/>
      <c r="F33" s="8" t="s">
        <v>25</v>
      </c>
      <c r="G33" s="8" t="s">
        <v>26</v>
      </c>
      <c r="H33" s="8" t="s">
        <v>25</v>
      </c>
      <c r="I33" s="8"/>
      <c r="J33" s="8" t="s">
        <v>104</v>
      </c>
      <c r="K33" s="9" t="str">
        <f aca="false">IF(J33="","",IFERROR(INDEX('JSON del cliente'!$B$5:$B$288,MATCH(J33,'JSON del cliente'!$A$5:$A$288,0)),"no está en el JSON"))</f>
        <v>Si</v>
      </c>
      <c r="L33" s="8"/>
      <c r="M33" s="8"/>
      <c r="N33" s="8" t="s">
        <v>25</v>
      </c>
      <c r="O33" s="8"/>
      <c r="P33" s="8"/>
      <c r="Q33" s="7" t="n">
        <f aca="false">IF(AND($A33=$A32,$B33=$B32),Q32,Q32+1)</f>
        <v>7</v>
      </c>
      <c r="R33" s="7" t="n">
        <f aca="false">IF($A33="","",IFERROR(INDEX(R$5:R32,MATCH($A33,$A$5:$A32,0)),MAX(R$5:R32)+1))</f>
        <v>3</v>
      </c>
    </row>
    <row r="34" customFormat="false" ht="23.85" hidden="false" customHeight="false" outlineLevel="0" collapsed="false">
      <c r="A34" s="8" t="s">
        <v>85</v>
      </c>
      <c r="B34" s="8" t="s">
        <v>101</v>
      </c>
      <c r="C34" s="8" t="s">
        <v>105</v>
      </c>
      <c r="D34" s="8" t="s">
        <v>78</v>
      </c>
      <c r="E34" s="8"/>
      <c r="F34" s="8" t="s">
        <v>25</v>
      </c>
      <c r="G34" s="8" t="s">
        <v>26</v>
      </c>
      <c r="H34" s="8" t="s">
        <v>25</v>
      </c>
      <c r="I34" s="8" t="s">
        <v>106</v>
      </c>
      <c r="J34" s="8" t="s">
        <v>107</v>
      </c>
      <c r="K34" s="9" t="str">
        <f aca="false">IF(J34="","",IFERROR(INDEX('JSON del cliente'!$B$5:$B$288,MATCH(J34,'JSON del cliente'!$A$5:$A$288,0)),"no está en el JSON"))</f>
        <v>Mapre S.A.</v>
      </c>
      <c r="L34" s="8"/>
      <c r="M34" s="8" t="s">
        <v>80</v>
      </c>
      <c r="N34" s="8" t="s">
        <v>25</v>
      </c>
      <c r="O34" s="8"/>
      <c r="P34" s="8"/>
      <c r="Q34" s="7" t="n">
        <f aca="false">IF(AND($A34=$A33,$B34=$B33),Q33,Q33+1)</f>
        <v>7</v>
      </c>
      <c r="R34" s="7" t="n">
        <f aca="false">IF($A34="","",IFERROR(INDEX(R$5:R33,MATCH($A34,$A$5:$A33,0)),MAX(R$5:R33)+1))</f>
        <v>3</v>
      </c>
    </row>
    <row r="35" customFormat="false" ht="15" hidden="false" customHeight="false" outlineLevel="0" collapsed="false">
      <c r="A35" s="8" t="s">
        <v>108</v>
      </c>
      <c r="B35" s="8" t="s">
        <v>109</v>
      </c>
      <c r="C35" s="8" t="s">
        <v>110</v>
      </c>
      <c r="D35" s="8" t="s">
        <v>111</v>
      </c>
      <c r="E35" s="8" t="s">
        <v>112</v>
      </c>
      <c r="F35" s="8" t="s">
        <v>25</v>
      </c>
      <c r="G35" s="8" t="s">
        <v>25</v>
      </c>
      <c r="H35" s="8" t="s">
        <v>25</v>
      </c>
      <c r="I35" s="8"/>
      <c r="J35" s="8" t="s">
        <v>113</v>
      </c>
      <c r="K35" s="9" t="str">
        <f aca="false">IF(J35="","",IFERROR(INDEX('JSON del cliente'!$B$5:$B$288,MATCH(J35,'JSON del cliente'!$A$5:$A$288,0)),"no está en el JSON"))</f>
        <v>Física</v>
      </c>
      <c r="L35" s="8"/>
      <c r="M35" s="8"/>
      <c r="N35" s="8" t="s">
        <v>25</v>
      </c>
      <c r="O35" s="8"/>
      <c r="P35" s="8"/>
      <c r="Q35" s="7" t="n">
        <f aca="false">IF(AND($A35=$A34,$B35=$B34),Q34,Q34+1)</f>
        <v>8</v>
      </c>
      <c r="R35" s="7" t="n">
        <f aca="false">IF($A35="","",IFERROR(INDEX(R$5:R34,MATCH($A35,$A$5:$A34,0)),MAX(R$5:R34)+1))</f>
        <v>4</v>
      </c>
    </row>
    <row r="36" customFormat="false" ht="15" hidden="false" customHeight="false" outlineLevel="0" collapsed="false">
      <c r="A36" s="8" t="s">
        <v>108</v>
      </c>
      <c r="B36" s="8" t="s">
        <v>109</v>
      </c>
      <c r="C36" s="8" t="s">
        <v>114</v>
      </c>
      <c r="D36" s="8" t="s">
        <v>78</v>
      </c>
      <c r="E36" s="8"/>
      <c r="F36" s="8" t="s">
        <v>25</v>
      </c>
      <c r="G36" s="8" t="s">
        <v>25</v>
      </c>
      <c r="H36" s="8" t="s">
        <v>25</v>
      </c>
      <c r="I36" s="8"/>
      <c r="J36" s="8" t="s">
        <v>115</v>
      </c>
      <c r="K36" s="9" t="str">
        <f aca="false">IF(J36="","",IFERROR(INDEX('JSON del cliente'!$B$5:$B$288,MATCH(J36,'JSON del cliente'!$A$5:$A$288,0)),"no está en el JSON"))</f>
        <v>1103330564</v>
      </c>
      <c r="L36" s="8"/>
      <c r="M36" s="8" t="s">
        <v>116</v>
      </c>
      <c r="N36" s="8" t="s">
        <v>25</v>
      </c>
      <c r="O36" s="8"/>
      <c r="P36" s="8"/>
      <c r="Q36" s="7" t="n">
        <f aca="false">IF(AND($A36=$A35,$B36=$B35),Q35,Q35+1)</f>
        <v>8</v>
      </c>
      <c r="R36" s="7" t="n">
        <f aca="false">IF($A36="","",IFERROR(INDEX(R$5:R35,MATCH($A36,$A$5:$A35,0)),MAX(R$5:R35)+1))</f>
        <v>4</v>
      </c>
    </row>
    <row r="37" customFormat="false" ht="15" hidden="false" customHeight="false" outlineLevel="0" collapsed="false">
      <c r="A37" s="8" t="s">
        <v>108</v>
      </c>
      <c r="B37" s="8" t="s">
        <v>109</v>
      </c>
      <c r="C37" s="8" t="s">
        <v>117</v>
      </c>
      <c r="D37" s="8" t="s">
        <v>78</v>
      </c>
      <c r="E37" s="8"/>
      <c r="F37" s="8" t="s">
        <v>25</v>
      </c>
      <c r="G37" s="8" t="s">
        <v>25</v>
      </c>
      <c r="H37" s="8" t="s">
        <v>25</v>
      </c>
      <c r="I37" s="8"/>
      <c r="J37" s="8" t="s">
        <v>118</v>
      </c>
      <c r="K37" s="9" t="str">
        <f aca="false">IF(J37="","",IFERROR(INDEX('JSON del cliente'!$B$5:$B$288,MATCH(J37,'JSON del cliente'!$A$5:$A$288,0)),"no está en el JSON"))</f>
        <v>Alejandro</v>
      </c>
      <c r="L37" s="8"/>
      <c r="M37" s="8" t="s">
        <v>80</v>
      </c>
      <c r="N37" s="8" t="s">
        <v>25</v>
      </c>
      <c r="O37" s="8"/>
      <c r="P37" s="8"/>
      <c r="Q37" s="7" t="n">
        <f aca="false">IF(AND($A37=$A36,$B37=$B36),Q36,Q36+1)</f>
        <v>8</v>
      </c>
      <c r="R37" s="7" t="n">
        <f aca="false">IF($A37="","",IFERROR(INDEX(R$5:R36,MATCH($A37,$A$5:$A36,0)),MAX(R$5:R36)+1))</f>
        <v>4</v>
      </c>
    </row>
    <row r="38" customFormat="false" ht="15" hidden="false" customHeight="false" outlineLevel="0" collapsed="false">
      <c r="A38" s="8" t="s">
        <v>108</v>
      </c>
      <c r="B38" s="8" t="s">
        <v>109</v>
      </c>
      <c r="C38" s="8" t="s">
        <v>119</v>
      </c>
      <c r="D38" s="8" t="s">
        <v>78</v>
      </c>
      <c r="E38" s="8"/>
      <c r="F38" s="8" t="s">
        <v>26</v>
      </c>
      <c r="G38" s="8" t="s">
        <v>25</v>
      </c>
      <c r="H38" s="8" t="s">
        <v>25</v>
      </c>
      <c r="I38" s="8"/>
      <c r="J38" s="8" t="s">
        <v>120</v>
      </c>
      <c r="K38" s="9" t="n">
        <f aca="false">IF(J38="","",IFERROR(INDEX('JSON del cliente'!$B$5:$B$288,MATCH(J38,'JSON del cliente'!$A$5:$A$288,0)),"no está en el JSON"))</f>
        <v>0</v>
      </c>
      <c r="L38" s="8"/>
      <c r="M38" s="8" t="s">
        <v>80</v>
      </c>
      <c r="N38" s="8" t="s">
        <v>25</v>
      </c>
      <c r="O38" s="8"/>
      <c r="P38" s="8"/>
      <c r="Q38" s="7" t="n">
        <f aca="false">IF(AND($A38=$A37,$B38=$B37),Q37,Q37+1)</f>
        <v>8</v>
      </c>
      <c r="R38" s="7" t="n">
        <f aca="false">IF($A38="","",IFERROR(INDEX(R$5:R37,MATCH($A38,$A$5:$A37,0)),MAX(R$5:R37)+1))</f>
        <v>4</v>
      </c>
    </row>
    <row r="39" customFormat="false" ht="15" hidden="false" customHeight="false" outlineLevel="0" collapsed="false">
      <c r="A39" s="8" t="s">
        <v>108</v>
      </c>
      <c r="B39" s="8" t="s">
        <v>109</v>
      </c>
      <c r="C39" s="8" t="s">
        <v>121</v>
      </c>
      <c r="D39" s="8" t="s">
        <v>78</v>
      </c>
      <c r="E39" s="8"/>
      <c r="F39" s="8" t="s">
        <v>25</v>
      </c>
      <c r="G39" s="8" t="s">
        <v>25</v>
      </c>
      <c r="H39" s="8" t="s">
        <v>25</v>
      </c>
      <c r="I39" s="8"/>
      <c r="J39" s="8" t="s">
        <v>122</v>
      </c>
      <c r="K39" s="9" t="str">
        <f aca="false">IF(J39="","",IFERROR(INDEX('JSON del cliente'!$B$5:$B$288,MATCH(J39,'JSON del cliente'!$A$5:$A$288,0)),"no está en el JSON"))</f>
        <v>Ulloa</v>
      </c>
      <c r="L39" s="8"/>
      <c r="M39" s="8" t="s">
        <v>80</v>
      </c>
      <c r="N39" s="8" t="s">
        <v>25</v>
      </c>
      <c r="O39" s="8"/>
      <c r="P39" s="8"/>
      <c r="Q39" s="7" t="n">
        <f aca="false">IF(AND($A39=$A38,$B39=$B38),Q38,Q38+1)</f>
        <v>8</v>
      </c>
      <c r="R39" s="7" t="n">
        <f aca="false">IF($A39="","",IFERROR(INDEX(R$5:R38,MATCH($A39,$A$5:$A38,0)),MAX(R$5:R38)+1))</f>
        <v>4</v>
      </c>
    </row>
    <row r="40" customFormat="false" ht="15" hidden="false" customHeight="false" outlineLevel="0" collapsed="false">
      <c r="A40" s="8" t="s">
        <v>108</v>
      </c>
      <c r="B40" s="8" t="s">
        <v>109</v>
      </c>
      <c r="C40" s="8" t="s">
        <v>123</v>
      </c>
      <c r="D40" s="8" t="s">
        <v>78</v>
      </c>
      <c r="E40" s="8"/>
      <c r="F40" s="8" t="s">
        <v>26</v>
      </c>
      <c r="G40" s="8" t="s">
        <v>25</v>
      </c>
      <c r="H40" s="8" t="s">
        <v>25</v>
      </c>
      <c r="I40" s="8"/>
      <c r="J40" s="8" t="s">
        <v>124</v>
      </c>
      <c r="K40" s="9" t="str">
        <f aca="false">IF(J40="","",IFERROR(INDEX('JSON del cliente'!$B$5:$B$288,MATCH(J40,'JSON del cliente'!$A$5:$A$288,0)),"no está en el JSON"))</f>
        <v>Pérez</v>
      </c>
      <c r="L40" s="8"/>
      <c r="M40" s="8" t="s">
        <v>80</v>
      </c>
      <c r="N40" s="8" t="s">
        <v>25</v>
      </c>
      <c r="O40" s="8"/>
      <c r="P40" s="8"/>
      <c r="Q40" s="7" t="n">
        <f aca="false">IF(AND($A40=$A39,$B40=$B39),Q39,Q39+1)</f>
        <v>8</v>
      </c>
      <c r="R40" s="7" t="n">
        <f aca="false">IF($A40="","",IFERROR(INDEX(R$5:R39,MATCH($A40,$A$5:$A39,0)),MAX(R$5:R39)+1))</f>
        <v>4</v>
      </c>
    </row>
    <row r="41" customFormat="false" ht="23.85" hidden="false" customHeight="false" outlineLevel="0" collapsed="false">
      <c r="A41" s="8" t="s">
        <v>108</v>
      </c>
      <c r="B41" s="8" t="s">
        <v>109</v>
      </c>
      <c r="C41" s="8" t="s">
        <v>125</v>
      </c>
      <c r="D41" s="8" t="s">
        <v>81</v>
      </c>
      <c r="E41" s="8"/>
      <c r="F41" s="8" t="s">
        <v>25</v>
      </c>
      <c r="G41" s="8" t="s">
        <v>25</v>
      </c>
      <c r="H41" s="8" t="s">
        <v>25</v>
      </c>
      <c r="I41" s="8"/>
      <c r="J41" s="8" t="s">
        <v>126</v>
      </c>
      <c r="K41" s="9" t="str">
        <f aca="false">IF(J41="","",IFERROR(INDEX('JSON del cliente'!$B$5:$B$288,MATCH(J41,'JSON del cliente'!$A$5:$A$288,0)),"no está en el JSON"))</f>
        <v>1979-04-26</v>
      </c>
      <c r="L41" s="8"/>
      <c r="M41" s="8"/>
      <c r="N41" s="8" t="s">
        <v>25</v>
      </c>
      <c r="O41" s="8" t="s">
        <v>127</v>
      </c>
      <c r="P41" s="8"/>
      <c r="Q41" s="7" t="n">
        <f aca="false">IF(AND($A41=$A40,$B41=$B40),Q40,Q40+1)</f>
        <v>8</v>
      </c>
      <c r="R41" s="7" t="n">
        <f aca="false">IF($A41="","",IFERROR(INDEX(R$5:R40,MATCH($A41,$A$5:$A40,0)),MAX(R$5:R40)+1))</f>
        <v>4</v>
      </c>
    </row>
    <row r="42" customFormat="false" ht="15" hidden="false" customHeight="false" outlineLevel="0" collapsed="false">
      <c r="A42" s="8" t="s">
        <v>108</v>
      </c>
      <c r="B42" s="8" t="s">
        <v>109</v>
      </c>
      <c r="C42" s="8" t="s">
        <v>128</v>
      </c>
      <c r="D42" s="8" t="s">
        <v>111</v>
      </c>
      <c r="E42" s="8" t="s">
        <v>112</v>
      </c>
      <c r="F42" s="8" t="s">
        <v>25</v>
      </c>
      <c r="G42" s="8" t="s">
        <v>25</v>
      </c>
      <c r="H42" s="8" t="s">
        <v>25</v>
      </c>
      <c r="I42" s="8"/>
      <c r="J42" s="8" t="s">
        <v>129</v>
      </c>
      <c r="K42" s="9" t="str">
        <f aca="false">IF(J42="","",IFERROR(INDEX('JSON del cliente'!$B$5:$B$288,MATCH(J42,'JSON del cliente'!$A$5:$A$288,0)),"no está en el JSON"))</f>
        <v>Casado</v>
      </c>
      <c r="L42" s="8"/>
      <c r="M42" s="8"/>
      <c r="N42" s="8" t="s">
        <v>25</v>
      </c>
      <c r="O42" s="8"/>
      <c r="P42" s="8"/>
      <c r="Q42" s="7" t="n">
        <f aca="false">IF(AND($A42=$A41,$B42=$B41),Q41,Q41+1)</f>
        <v>8</v>
      </c>
      <c r="R42" s="7" t="n">
        <f aca="false">IF($A42="","",IFERROR(INDEX(R$5:R41,MATCH($A42,$A$5:$A41,0)),MAX(R$5:R41)+1))</f>
        <v>4</v>
      </c>
    </row>
    <row r="43" customFormat="false" ht="15" hidden="false" customHeight="false" outlineLevel="0" collapsed="false">
      <c r="A43" s="8" t="s">
        <v>108</v>
      </c>
      <c r="B43" s="8" t="s">
        <v>109</v>
      </c>
      <c r="C43" s="8" t="s">
        <v>130</v>
      </c>
      <c r="D43" s="8" t="s">
        <v>131</v>
      </c>
      <c r="E43" s="8" t="s">
        <v>132</v>
      </c>
      <c r="F43" s="8" t="s">
        <v>25</v>
      </c>
      <c r="G43" s="8" t="s">
        <v>25</v>
      </c>
      <c r="H43" s="8" t="s">
        <v>25</v>
      </c>
      <c r="I43" s="8"/>
      <c r="J43" s="8" t="s">
        <v>133</v>
      </c>
      <c r="K43" s="9" t="str">
        <f aca="false">IF(J43="","",IFERROR(INDEX('JSON del cliente'!$B$5:$B$288,MATCH(J43,'JSON del cliente'!$A$5:$A$288,0)),"no está en el JSON"))</f>
        <v>Femenino</v>
      </c>
      <c r="L43" s="8"/>
      <c r="M43" s="8"/>
      <c r="N43" s="8" t="s">
        <v>25</v>
      </c>
      <c r="O43" s="8"/>
      <c r="P43" s="8"/>
      <c r="Q43" s="7" t="n">
        <f aca="false">IF(AND($A43=$A42,$B43=$B42),Q42,Q42+1)</f>
        <v>8</v>
      </c>
      <c r="R43" s="7" t="n">
        <f aca="false">IF($A43="","",IFERROR(INDEX(R$5:R42,MATCH($A43,$A$5:$A42,0)),MAX(R$5:R42)+1))</f>
        <v>4</v>
      </c>
    </row>
    <row r="44" customFormat="false" ht="15" hidden="false" customHeight="false" outlineLevel="0" collapsed="false">
      <c r="A44" s="8" t="s">
        <v>108</v>
      </c>
      <c r="B44" s="8" t="s">
        <v>109</v>
      </c>
      <c r="C44" s="8" t="s">
        <v>134</v>
      </c>
      <c r="D44" s="8" t="s">
        <v>135</v>
      </c>
      <c r="E44" s="8"/>
      <c r="F44" s="8" t="s">
        <v>25</v>
      </c>
      <c r="G44" s="8" t="s">
        <v>25</v>
      </c>
      <c r="H44" s="8" t="s">
        <v>25</v>
      </c>
      <c r="I44" s="8"/>
      <c r="J44" s="8" t="s">
        <v>136</v>
      </c>
      <c r="K44" s="9" t="str">
        <f aca="false">IF(J44="","",IFERROR(INDEX('JSON del cliente'!$B$5:$B$288,MATCH(J44,'JSON del cliente'!$A$5:$A$288,0)),"no está en el JSON"))</f>
        <v>88400271</v>
      </c>
      <c r="L44" s="8"/>
      <c r="M44" s="8" t="s">
        <v>137</v>
      </c>
      <c r="N44" s="8" t="s">
        <v>25</v>
      </c>
      <c r="O44" s="8"/>
      <c r="P44" s="8"/>
      <c r="Q44" s="7" t="n">
        <f aca="false">IF(AND($A44=$A43,$B44=$B43),Q43,Q43+1)</f>
        <v>8</v>
      </c>
      <c r="R44" s="7" t="n">
        <f aca="false">IF($A44="","",IFERROR(INDEX(R$5:R43,MATCH($A44,$A$5:$A43,0)),MAX(R$5:R43)+1))</f>
        <v>4</v>
      </c>
    </row>
    <row r="45" customFormat="false" ht="15" hidden="false" customHeight="false" outlineLevel="0" collapsed="false">
      <c r="A45" s="8" t="s">
        <v>108</v>
      </c>
      <c r="B45" s="8" t="s">
        <v>109</v>
      </c>
      <c r="C45" s="8" t="s">
        <v>40</v>
      </c>
      <c r="D45" s="8" t="s">
        <v>138</v>
      </c>
      <c r="E45" s="8"/>
      <c r="F45" s="8" t="s">
        <v>25</v>
      </c>
      <c r="G45" s="8" t="s">
        <v>25</v>
      </c>
      <c r="H45" s="8" t="s">
        <v>25</v>
      </c>
      <c r="I45" s="8"/>
      <c r="J45" s="8" t="s">
        <v>139</v>
      </c>
      <c r="K45" s="9" t="str">
        <f aca="false">IF(J45="","",IFERROR(INDEX('JSON del cliente'!$B$5:$B$288,MATCH(J45,'JSON del cliente'!$A$5:$A$288,0)),"no está en el JSON"))</f>
        <v>aulloap@grupoins.com</v>
      </c>
      <c r="L45" s="8"/>
      <c r="M45" s="8"/>
      <c r="N45" s="8" t="s">
        <v>25</v>
      </c>
      <c r="O45" s="8"/>
      <c r="P45" s="8"/>
      <c r="Q45" s="7" t="n">
        <f aca="false">IF(AND($A45=$A44,$B45=$B44),Q44,Q44+1)</f>
        <v>8</v>
      </c>
      <c r="R45" s="7" t="n">
        <f aca="false">IF($A45="","",IFERROR(INDEX(R$5:R44,MATCH($A45,$A$5:$A44,0)),MAX(R$5:R44)+1))</f>
        <v>4</v>
      </c>
    </row>
    <row r="46" customFormat="false" ht="15" hidden="false" customHeight="false" outlineLevel="0" collapsed="false">
      <c r="A46" s="8" t="s">
        <v>108</v>
      </c>
      <c r="B46" s="8" t="s">
        <v>140</v>
      </c>
      <c r="C46" s="8" t="s">
        <v>141</v>
      </c>
      <c r="D46" s="8" t="s">
        <v>111</v>
      </c>
      <c r="E46" s="8" t="s">
        <v>112</v>
      </c>
      <c r="F46" s="8" t="s">
        <v>25</v>
      </c>
      <c r="G46" s="8" t="s">
        <v>25</v>
      </c>
      <c r="H46" s="8" t="s">
        <v>25</v>
      </c>
      <c r="I46" s="8"/>
      <c r="J46" s="8" t="s">
        <v>142</v>
      </c>
      <c r="K46" s="9" t="str">
        <f aca="false">IF(J46="","",IFERROR(INDEX('JSON del cliente'!$B$5:$B$288,MATCH(J46,'JSON del cliente'!$A$5:$A$288,0)),"no está en el JSON"))</f>
        <v>Ver catálogo adjunto</v>
      </c>
      <c r="L46" s="8"/>
      <c r="M46" s="8"/>
      <c r="N46" s="8" t="s">
        <v>25</v>
      </c>
      <c r="O46" s="8"/>
      <c r="P46" s="8"/>
      <c r="Q46" s="7" t="n">
        <f aca="false">IF(AND($A46=$A45,$B46=$B45),Q45,Q45+1)</f>
        <v>9</v>
      </c>
      <c r="R46" s="7" t="n">
        <f aca="false">IF($A46="","",IFERROR(INDEX(R$5:R45,MATCH($A46,$A$5:$A45,0)),MAX(R$5:R45)+1))</f>
        <v>4</v>
      </c>
    </row>
    <row r="47" customFormat="false" ht="15" hidden="false" customHeight="false" outlineLevel="0" collapsed="false">
      <c r="A47" s="8" t="s">
        <v>108</v>
      </c>
      <c r="B47" s="8" t="s">
        <v>140</v>
      </c>
      <c r="C47" s="8" t="s">
        <v>143</v>
      </c>
      <c r="D47" s="8" t="s">
        <v>111</v>
      </c>
      <c r="E47" s="8" t="s">
        <v>112</v>
      </c>
      <c r="F47" s="8" t="s">
        <v>25</v>
      </c>
      <c r="G47" s="8" t="s">
        <v>25</v>
      </c>
      <c r="H47" s="8" t="s">
        <v>25</v>
      </c>
      <c r="I47" s="8"/>
      <c r="J47" s="8" t="s">
        <v>144</v>
      </c>
      <c r="K47" s="9" t="str">
        <f aca="false">IF(J47="","",IFERROR(INDEX('JSON del cliente'!$B$5:$B$288,MATCH(J47,'JSON del cliente'!$A$5:$A$288,0)),"no está en el JSON"))</f>
        <v>Ver catálogo adjunto</v>
      </c>
      <c r="L47" s="8"/>
      <c r="M47" s="8"/>
      <c r="N47" s="8" t="s">
        <v>25</v>
      </c>
      <c r="O47" s="8" t="s">
        <v>145</v>
      </c>
      <c r="P47" s="8"/>
      <c r="Q47" s="7" t="n">
        <f aca="false">IF(AND($A47=$A46,$B47=$B46),Q46,Q46+1)</f>
        <v>9</v>
      </c>
      <c r="R47" s="7" t="n">
        <f aca="false">IF($A47="","",IFERROR(INDEX(R$5:R46,MATCH($A47,$A$5:$A46,0)),MAX(R$5:R46)+1))</f>
        <v>4</v>
      </c>
    </row>
    <row r="48" customFormat="false" ht="15" hidden="false" customHeight="false" outlineLevel="0" collapsed="false">
      <c r="A48" s="8" t="s">
        <v>108</v>
      </c>
      <c r="B48" s="8" t="s">
        <v>140</v>
      </c>
      <c r="C48" s="8" t="s">
        <v>146</v>
      </c>
      <c r="D48" s="8" t="s">
        <v>111</v>
      </c>
      <c r="E48" s="8" t="s">
        <v>112</v>
      </c>
      <c r="F48" s="8" t="s">
        <v>25</v>
      </c>
      <c r="G48" s="8" t="s">
        <v>25</v>
      </c>
      <c r="H48" s="8" t="s">
        <v>25</v>
      </c>
      <c r="I48" s="8"/>
      <c r="J48" s="8" t="s">
        <v>147</v>
      </c>
      <c r="K48" s="9" t="str">
        <f aca="false">IF(J48="","",IFERROR(INDEX('JSON del cliente'!$B$5:$B$288,MATCH(J48,'JSON del cliente'!$A$5:$A$288,0)),"no está en el JSON"))</f>
        <v>Ver catálogo adjunto</v>
      </c>
      <c r="L48" s="8"/>
      <c r="M48" s="8"/>
      <c r="N48" s="8" t="s">
        <v>25</v>
      </c>
      <c r="O48" s="8" t="s">
        <v>148</v>
      </c>
      <c r="P48" s="8"/>
      <c r="Q48" s="7" t="n">
        <f aca="false">IF(AND($A48=$A47,$B48=$B47),Q47,Q47+1)</f>
        <v>9</v>
      </c>
      <c r="R48" s="7" t="n">
        <f aca="false">IF($A48="","",IFERROR(INDEX(R$5:R47,MATCH($A48,$A$5:$A47,0)),MAX(R$5:R47)+1))</f>
        <v>4</v>
      </c>
    </row>
    <row r="49" customFormat="false" ht="23.85" hidden="false" customHeight="false" outlineLevel="0" collapsed="false">
      <c r="A49" s="8" t="s">
        <v>108</v>
      </c>
      <c r="B49" s="8" t="s">
        <v>140</v>
      </c>
      <c r="C49" s="8" t="s">
        <v>149</v>
      </c>
      <c r="D49" s="8" t="s">
        <v>150</v>
      </c>
      <c r="E49" s="8"/>
      <c r="F49" s="8" t="s">
        <v>25</v>
      </c>
      <c r="G49" s="8" t="s">
        <v>25</v>
      </c>
      <c r="H49" s="8" t="s">
        <v>25</v>
      </c>
      <c r="I49" s="8"/>
      <c r="J49" s="8" t="s">
        <v>151</v>
      </c>
      <c r="K49" s="9" t="str">
        <f aca="false">IF(J49="","",IFERROR(INDEX('JSON del cliente'!$B$5:$B$288,MATCH(J49,'JSON del cliente'!$A$5:$A$288,0)),"no está en el JSON"))</f>
        <v>400 metros este de Municipalidad</v>
      </c>
      <c r="L49" s="8"/>
      <c r="M49" s="8" t="s">
        <v>152</v>
      </c>
      <c r="N49" s="8" t="s">
        <v>25</v>
      </c>
      <c r="O49" s="8"/>
      <c r="P49" s="8"/>
      <c r="Q49" s="7" t="n">
        <f aca="false">IF(AND($A49=$A48,$B49=$B48),Q48,Q48+1)</f>
        <v>9</v>
      </c>
      <c r="R49" s="7" t="n">
        <f aca="false">IF($A49="","",IFERROR(INDEX(R$5:R48,MATCH($A49,$A$5:$A48,0)),MAX(R$5:R48)+1))</f>
        <v>4</v>
      </c>
    </row>
    <row r="50" customFormat="false" ht="23.85" hidden="false" customHeight="false" outlineLevel="0" collapsed="false">
      <c r="A50" s="8" t="s">
        <v>108</v>
      </c>
      <c r="B50" s="8" t="s">
        <v>153</v>
      </c>
      <c r="C50" s="8" t="s">
        <v>154</v>
      </c>
      <c r="D50" s="8" t="s">
        <v>131</v>
      </c>
      <c r="E50" s="8" t="s">
        <v>155</v>
      </c>
      <c r="F50" s="8" t="s">
        <v>25</v>
      </c>
      <c r="G50" s="8" t="s">
        <v>26</v>
      </c>
      <c r="H50" s="8" t="s">
        <v>25</v>
      </c>
      <c r="I50" s="8"/>
      <c r="J50" s="8" t="s">
        <v>156</v>
      </c>
      <c r="K50" s="9" t="str">
        <f aca="false">IF(J50="","",IFERROR(INDEX('JSON del cliente'!$B$5:$B$288,MATCH(J50,'JSON del cliente'!$A$5:$A$288,0)),"no está en el JSON"))</f>
        <v>Correo Electrónico</v>
      </c>
      <c r="L50" s="8"/>
      <c r="M50" s="8"/>
      <c r="N50" s="8" t="s">
        <v>25</v>
      </c>
      <c r="O50" s="8"/>
      <c r="P50" s="8"/>
      <c r="Q50" s="7" t="n">
        <f aca="false">IF(AND($A50=$A49,$B50=$B49),Q49,Q49+1)</f>
        <v>10</v>
      </c>
      <c r="R50" s="7" t="n">
        <f aca="false">IF($A50="","",IFERROR(INDEX(R$5:R49,MATCH($A50,$A$5:$A49,0)),MAX(R$5:R49)+1))</f>
        <v>4</v>
      </c>
    </row>
    <row r="51" customFormat="false" ht="23.85" hidden="false" customHeight="false" outlineLevel="0" collapsed="false">
      <c r="A51" s="8" t="s">
        <v>108</v>
      </c>
      <c r="B51" s="8" t="s">
        <v>153</v>
      </c>
      <c r="C51" s="8" t="s">
        <v>157</v>
      </c>
      <c r="D51" s="8" t="s">
        <v>78</v>
      </c>
      <c r="E51" s="8"/>
      <c r="F51" s="8" t="s">
        <v>25</v>
      </c>
      <c r="G51" s="8" t="s">
        <v>26</v>
      </c>
      <c r="H51" s="8" t="s">
        <v>25</v>
      </c>
      <c r="I51" s="8" t="s">
        <v>158</v>
      </c>
      <c r="J51" s="8" t="s">
        <v>159</v>
      </c>
      <c r="K51" s="9" t="str">
        <f aca="false">IF(J51="","",IFERROR(INDEX('JSON del cliente'!$B$5:$B$288,MATCH(J51,'JSON del cliente'!$A$5:$A$288,0)),"no está en el JSON"))</f>
        <v>Correo Electrónico</v>
      </c>
      <c r="L51" s="8"/>
      <c r="M51" s="8" t="s">
        <v>80</v>
      </c>
      <c r="N51" s="8" t="s">
        <v>25</v>
      </c>
      <c r="O51" s="8"/>
      <c r="P51" s="8"/>
      <c r="Q51" s="7" t="n">
        <f aca="false">IF(AND($A51=$A50,$B51=$B50),Q50,Q50+1)</f>
        <v>10</v>
      </c>
      <c r="R51" s="7" t="n">
        <f aca="false">IF($A51="","",IFERROR(INDEX(R$5:R50,MATCH($A51,$A$5:$A50,0)),MAX(R$5:R50)+1))</f>
        <v>4</v>
      </c>
    </row>
    <row r="52" customFormat="false" ht="23.85" hidden="false" customHeight="false" outlineLevel="0" collapsed="false">
      <c r="A52" s="8" t="s">
        <v>160</v>
      </c>
      <c r="B52" s="8" t="s">
        <v>161</v>
      </c>
      <c r="C52" s="8" t="s">
        <v>162</v>
      </c>
      <c r="D52" s="8" t="s">
        <v>78</v>
      </c>
      <c r="E52" s="8"/>
      <c r="F52" s="8" t="s">
        <v>25</v>
      </c>
      <c r="G52" s="8" t="s">
        <v>26</v>
      </c>
      <c r="H52" s="8" t="s">
        <v>25</v>
      </c>
      <c r="I52" s="8"/>
      <c r="J52" s="8" t="s">
        <v>163</v>
      </c>
      <c r="K52" s="9" t="str">
        <f aca="false">IF(J52="","",IFERROR(INDEX('JSON del cliente'!$B$5:$B$288,MATCH(J52,'JSON del cliente'!$A$5:$A$288,0)),"no está en el JSON"))</f>
        <v>Televisor</v>
      </c>
      <c r="L52" s="8"/>
      <c r="M52" s="8"/>
      <c r="N52" s="8" t="s">
        <v>25</v>
      </c>
      <c r="O52" s="8" t="s">
        <v>164</v>
      </c>
      <c r="P52" s="8"/>
      <c r="Q52" s="7" t="n">
        <f aca="false">IF(AND($A52=$A51,$B52=$B51),Q51,Q51+1)</f>
        <v>11</v>
      </c>
      <c r="R52" s="7" t="n">
        <f aca="false">IF($A52="","",IFERROR(INDEX(R$5:R51,MATCH($A52,$A$5:$A51,0)),MAX(R$5:R51)+1))</f>
        <v>5</v>
      </c>
    </row>
    <row r="53" customFormat="false" ht="23.85" hidden="false" customHeight="false" outlineLevel="0" collapsed="false">
      <c r="A53" s="8" t="s">
        <v>160</v>
      </c>
      <c r="B53" s="8" t="s">
        <v>161</v>
      </c>
      <c r="C53" s="8" t="s">
        <v>165</v>
      </c>
      <c r="D53" s="8" t="s">
        <v>78</v>
      </c>
      <c r="E53" s="8"/>
      <c r="F53" s="8" t="s">
        <v>25</v>
      </c>
      <c r="G53" s="8" t="s">
        <v>26</v>
      </c>
      <c r="H53" s="8" t="s">
        <v>25</v>
      </c>
      <c r="I53" s="8"/>
      <c r="J53" s="8" t="s">
        <v>166</v>
      </c>
      <c r="K53" s="9" t="str">
        <f aca="false">IF(J53="","",IFERROR(INDEX('JSON del cliente'!$B$5:$B$288,MATCH(J53,'JSON del cliente'!$A$5:$A$288,0)),"no está en el JSON"))</f>
        <v>Samsung</v>
      </c>
      <c r="L53" s="8"/>
      <c r="M53" s="8" t="s">
        <v>152</v>
      </c>
      <c r="N53" s="8" t="s">
        <v>25</v>
      </c>
      <c r="O53" s="8"/>
      <c r="P53" s="8"/>
      <c r="Q53" s="7" t="n">
        <f aca="false">IF(AND($A53=$A52,$B53=$B52),Q52,Q52+1)</f>
        <v>11</v>
      </c>
      <c r="R53" s="7" t="n">
        <f aca="false">IF($A53="","",IFERROR(INDEX(R$5:R52,MATCH($A53,$A$5:$A52,0)),MAX(R$5:R52)+1))</f>
        <v>5</v>
      </c>
    </row>
    <row r="54" customFormat="false" ht="23.85" hidden="false" customHeight="false" outlineLevel="0" collapsed="false">
      <c r="A54" s="8" t="s">
        <v>160</v>
      </c>
      <c r="B54" s="8" t="s">
        <v>161</v>
      </c>
      <c r="C54" s="8" t="s">
        <v>167</v>
      </c>
      <c r="D54" s="8" t="s">
        <v>78</v>
      </c>
      <c r="E54" s="8"/>
      <c r="F54" s="8" t="s">
        <v>25</v>
      </c>
      <c r="G54" s="8" t="s">
        <v>26</v>
      </c>
      <c r="H54" s="8" t="s">
        <v>25</v>
      </c>
      <c r="I54" s="8"/>
      <c r="J54" s="8" t="s">
        <v>168</v>
      </c>
      <c r="K54" s="9" t="str">
        <f aca="false">IF(J54="","",IFERROR(INDEX('JSON del cliente'!$B$5:$B$288,MATCH(J54,'JSON del cliente'!$A$5:$A$288,0)),"no está en el JSON"))</f>
        <v>AT2251</v>
      </c>
      <c r="L54" s="8"/>
      <c r="M54" s="8" t="s">
        <v>152</v>
      </c>
      <c r="N54" s="8" t="s">
        <v>25</v>
      </c>
      <c r="O54" s="8"/>
      <c r="P54" s="8"/>
      <c r="Q54" s="7" t="n">
        <f aca="false">IF(AND($A54=$A53,$B54=$B53),Q53,Q53+1)</f>
        <v>11</v>
      </c>
      <c r="R54" s="7" t="n">
        <f aca="false">IF($A54="","",IFERROR(INDEX(R$5:R53,MATCH($A54,$A$5:$A53,0)),MAX(R$5:R53)+1))</f>
        <v>5</v>
      </c>
    </row>
    <row r="55" customFormat="false" ht="23.85" hidden="false" customHeight="false" outlineLevel="0" collapsed="false">
      <c r="A55" s="8" t="s">
        <v>160</v>
      </c>
      <c r="B55" s="8" t="s">
        <v>161</v>
      </c>
      <c r="C55" s="8" t="s">
        <v>169</v>
      </c>
      <c r="D55" s="8" t="s">
        <v>78</v>
      </c>
      <c r="E55" s="8"/>
      <c r="F55" s="8" t="s">
        <v>25</v>
      </c>
      <c r="G55" s="8" t="s">
        <v>26</v>
      </c>
      <c r="H55" s="8" t="s">
        <v>25</v>
      </c>
      <c r="I55" s="8"/>
      <c r="J55" s="8" t="s">
        <v>170</v>
      </c>
      <c r="K55" s="9" t="str">
        <f aca="false">IF(J55="","",IFERROR(INDEX('JSON del cliente'!$B$5:$B$288,MATCH(J55,'JSON del cliente'!$A$5:$A$288,0)),"no está en el JSON"))</f>
        <v>987564321S</v>
      </c>
      <c r="L55" s="8"/>
      <c r="M55" s="8" t="s">
        <v>171</v>
      </c>
      <c r="N55" s="8" t="s">
        <v>25</v>
      </c>
      <c r="O55" s="8"/>
      <c r="P55" s="8"/>
      <c r="Q55" s="7" t="n">
        <f aca="false">IF(AND($A55=$A54,$B55=$B54),Q54,Q54+1)</f>
        <v>11</v>
      </c>
      <c r="R55" s="7" t="n">
        <f aca="false">IF($A55="","",IFERROR(INDEX(R$5:R54,MATCH($A55,$A$5:$A54,0)),MAX(R$5:R54)+1))</f>
        <v>5</v>
      </c>
    </row>
    <row r="56" customFormat="false" ht="23.85" hidden="false" customHeight="false" outlineLevel="0" collapsed="false">
      <c r="A56" s="8" t="s">
        <v>160</v>
      </c>
      <c r="B56" s="8" t="s">
        <v>161</v>
      </c>
      <c r="C56" s="8" t="s">
        <v>172</v>
      </c>
      <c r="D56" s="8" t="s">
        <v>88</v>
      </c>
      <c r="E56" s="8"/>
      <c r="F56" s="8" t="s">
        <v>25</v>
      </c>
      <c r="G56" s="8" t="s">
        <v>26</v>
      </c>
      <c r="H56" s="8" t="s">
        <v>25</v>
      </c>
      <c r="I56" s="8"/>
      <c r="J56" s="8" t="s">
        <v>173</v>
      </c>
      <c r="K56" s="9" t="str">
        <f aca="false">IF(J56="","",IFERROR(INDEX('JSON del cliente'!$B$5:$B$288,MATCH(J56,'JSON del cliente'!$A$5:$A$288,0)),"no está en el JSON"))</f>
        <v>500000</v>
      </c>
      <c r="L56" s="8"/>
      <c r="M56" s="8"/>
      <c r="N56" s="8" t="s">
        <v>25</v>
      </c>
      <c r="O56" s="8"/>
      <c r="P56" s="8"/>
      <c r="Q56" s="7" t="n">
        <f aca="false">IF(AND($A56=$A55,$B56=$B55),Q55,Q55+1)</f>
        <v>11</v>
      </c>
      <c r="R56" s="7" t="n">
        <f aca="false">IF($A56="","",IFERROR(INDEX(R$5:R55,MATCH($A56,$A$5:$A55,0)),MAX(R$5:R55)+1))</f>
        <v>5</v>
      </c>
    </row>
    <row r="57" customFormat="false" ht="23.85" hidden="false" customHeight="false" outlineLevel="0" collapsed="false">
      <c r="A57" s="8" t="s">
        <v>160</v>
      </c>
      <c r="B57" s="8" t="s">
        <v>161</v>
      </c>
      <c r="C57" s="8" t="s">
        <v>174</v>
      </c>
      <c r="D57" s="8" t="s">
        <v>88</v>
      </c>
      <c r="E57" s="8"/>
      <c r="F57" s="8" t="s">
        <v>25</v>
      </c>
      <c r="G57" s="8" t="s">
        <v>26</v>
      </c>
      <c r="H57" s="8" t="s">
        <v>25</v>
      </c>
      <c r="I57" s="8"/>
      <c r="J57" s="8" t="s">
        <v>175</v>
      </c>
      <c r="K57" s="9" t="str">
        <f aca="false">IF(J57="","",IFERROR(INDEX('JSON del cliente'!$B$5:$B$288,MATCH(J57,'JSON del cliente'!$A$5:$A$288,0)),"no está en el JSON"))</f>
        <v>2025</v>
      </c>
      <c r="L57" s="8"/>
      <c r="M57" s="8" t="s">
        <v>176</v>
      </c>
      <c r="N57" s="8" t="s">
        <v>25</v>
      </c>
      <c r="O57" s="8"/>
      <c r="P57" s="8"/>
      <c r="Q57" s="7" t="n">
        <f aca="false">IF(AND($A57=$A56,$B57=$B56),Q56,Q56+1)</f>
        <v>11</v>
      </c>
      <c r="R57" s="7" t="n">
        <f aca="false">IF($A57="","",IFERROR(INDEX(R$5:R56,MATCH($A57,$A$5:$A56,0)),MAX(R$5:R56)+1))</f>
        <v>5</v>
      </c>
    </row>
    <row r="58" customFormat="false" ht="23.85" hidden="false" customHeight="false" outlineLevel="0" collapsed="false">
      <c r="A58" s="8" t="s">
        <v>177</v>
      </c>
      <c r="B58" s="8" t="s">
        <v>178</v>
      </c>
      <c r="C58" s="8" t="s">
        <v>179</v>
      </c>
      <c r="D58" s="8" t="s">
        <v>180</v>
      </c>
      <c r="E58" s="8"/>
      <c r="F58" s="8" t="s">
        <v>25</v>
      </c>
      <c r="G58" s="8" t="s">
        <v>26</v>
      </c>
      <c r="H58" s="8" t="s">
        <v>25</v>
      </c>
      <c r="I58" s="8"/>
      <c r="J58" s="8" t="s">
        <v>181</v>
      </c>
      <c r="K58" s="9" t="n">
        <f aca="false">IF(J58="","",IFERROR(INDEX('JSON del cliente'!$B$5:$B$288,MATCH(J58,'JSON del cliente'!$A$5:$A$288,0)),"no está en el JSON"))</f>
        <v>0</v>
      </c>
      <c r="L58" s="8"/>
      <c r="M58" s="8"/>
      <c r="N58" s="8" t="s">
        <v>25</v>
      </c>
      <c r="O58" s="8"/>
      <c r="P58" s="8"/>
      <c r="Q58" s="7" t="n">
        <f aca="false">IF(AND($A58=$A57,$B58=$B57),Q57,Q57+1)</f>
        <v>12</v>
      </c>
      <c r="R58" s="7" t="n">
        <f aca="false">IF($A58="","",IFERROR(INDEX(R$5:R57,MATCH($A58,$A$5:$A57,0)),MAX(R$5:R57)+1))</f>
        <v>6</v>
      </c>
    </row>
    <row r="59" customFormat="false" ht="23.85" hidden="false" customHeight="false" outlineLevel="0" collapsed="false">
      <c r="A59" s="8" t="s">
        <v>177</v>
      </c>
      <c r="B59" s="8" t="s">
        <v>182</v>
      </c>
      <c r="C59" s="8" t="s">
        <v>183</v>
      </c>
      <c r="D59" s="8" t="s">
        <v>180</v>
      </c>
      <c r="E59" s="8"/>
      <c r="F59" s="8" t="s">
        <v>25</v>
      </c>
      <c r="G59" s="8" t="s">
        <v>26</v>
      </c>
      <c r="H59" s="8" t="s">
        <v>25</v>
      </c>
      <c r="I59" s="8"/>
      <c r="J59" s="8" t="s">
        <v>184</v>
      </c>
      <c r="K59" s="9" t="n">
        <f aca="false">IF(J59="","",IFERROR(INDEX('JSON del cliente'!$B$5:$B$288,MATCH(J59,'JSON del cliente'!$A$5:$A$288,0)),"no está en el JSON"))</f>
        <v>0</v>
      </c>
      <c r="L59" s="8"/>
      <c r="M59" s="8"/>
      <c r="N59" s="8" t="s">
        <v>25</v>
      </c>
      <c r="O59" s="8"/>
      <c r="P59" s="8"/>
      <c r="Q59" s="7" t="n">
        <f aca="false">IF(AND($A59=$A58,$B59=$B58),Q58,Q58+1)</f>
        <v>13</v>
      </c>
      <c r="R59" s="7" t="n">
        <f aca="false">IF($A59="","",IFERROR(INDEX(R$5:R58,MATCH($A59,$A$5:$A58,0)),MAX(R$5:R58)+1))</f>
        <v>6</v>
      </c>
    </row>
    <row r="60" customFormat="false" ht="15" hidden="false" customHeight="false" outlineLevel="0" collapsed="false">
      <c r="A60" s="8" t="s">
        <v>177</v>
      </c>
      <c r="B60" s="8" t="s">
        <v>182</v>
      </c>
      <c r="C60" s="8" t="s">
        <v>185</v>
      </c>
      <c r="D60" s="8" t="s">
        <v>186</v>
      </c>
      <c r="E60" s="8"/>
      <c r="F60" s="8" t="s">
        <v>25</v>
      </c>
      <c r="G60" s="8" t="s">
        <v>26</v>
      </c>
      <c r="H60" s="8" t="s">
        <v>25</v>
      </c>
      <c r="I60" s="8"/>
      <c r="J60" s="8"/>
      <c r="K60" s="9" t="str">
        <f aca="false">IF(J60="","",IFERROR(INDEX('JSON del cliente'!$B$5:$B$288,MATCH(J60,'JSON del cliente'!$A$5:$A$288,0)),"no está en el JSON"))</f>
        <v/>
      </c>
      <c r="L60" s="8"/>
      <c r="M60" s="8"/>
      <c r="N60" s="8" t="s">
        <v>25</v>
      </c>
      <c r="O60" s="8" t="s">
        <v>187</v>
      </c>
      <c r="P60" s="8"/>
      <c r="Q60" s="7" t="n">
        <f aca="false">IF(AND($A60=$A59,$B60=$B59),Q59,Q59+1)</f>
        <v>13</v>
      </c>
      <c r="R60" s="7" t="n">
        <f aca="false">IF($A60="","",IFERROR(INDEX(R$5:R59,MATCH($A60,$A$5:$A59,0)),MAX(R$5:R59)+1))</f>
        <v>6</v>
      </c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9" t="str">
        <f aca="false">IF(J61="","",IFERROR(INDEX('JSON del cliente'!$B$5:$B$288,MATCH(J61,'JSON del cliente'!$A$5:$A$288,0)),"no está en el JSON"))</f>
        <v/>
      </c>
      <c r="L61" s="8"/>
      <c r="M61" s="8"/>
      <c r="N61" s="8"/>
      <c r="O61" s="8"/>
      <c r="P61" s="8"/>
      <c r="Q61" s="7" t="n">
        <f aca="false">IF(AND($A61=$A60,$B61=$B60),Q60,Q60+1)</f>
        <v>14</v>
      </c>
      <c r="R61" s="0" t="str">
        <f aca="false">IF($A61="","",IFERROR(INDEX(R$5:R60,MATCH($A61,$A$5:$A60,0)),MAX(R$5:R60)+1))</f>
        <v/>
      </c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9" t="str">
        <f aca="false">IF(J62="","",IFERROR(INDEX('JSON del cliente'!$B$5:$B$288,MATCH(J62,'JSON del cliente'!$A$5:$A$288,0)),"no está en el JSON"))</f>
        <v/>
      </c>
      <c r="L62" s="8"/>
      <c r="M62" s="8"/>
      <c r="N62" s="8"/>
      <c r="O62" s="8"/>
      <c r="P62" s="8"/>
      <c r="Q62" s="7" t="n">
        <f aca="false">IF(AND($A62=$A61,$B62=$B61),Q61,Q61+1)</f>
        <v>14</v>
      </c>
      <c r="R62" s="0" t="str">
        <f aca="false">IF($A62="","",IFERROR(INDEX(R$5:R61,MATCH($A62,$A$5:$A61,0)),MAX(R$5:R61)+1))</f>
        <v/>
      </c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9" t="str">
        <f aca="false">IF(J63="","",IFERROR(INDEX('JSON del cliente'!$B$5:$B$288,MATCH(J63,'JSON del cliente'!$A$5:$A$288,0)),"no está en el JSON"))</f>
        <v/>
      </c>
      <c r="L63" s="8"/>
      <c r="M63" s="8"/>
      <c r="N63" s="8"/>
      <c r="O63" s="8"/>
      <c r="P63" s="8"/>
      <c r="Q63" s="7" t="n">
        <f aca="false">IF(AND($A63=$A62,$B63=$B62),Q62,Q62+1)</f>
        <v>14</v>
      </c>
      <c r="R63" s="0" t="str">
        <f aca="false">IF($A63="","",IFERROR(INDEX(R$5:R62,MATCH($A63,$A$5:$A62,0)),MAX(R$5:R62)+1))</f>
        <v/>
      </c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9" t="str">
        <f aca="false">IF(J64="","",IFERROR(INDEX('JSON del cliente'!$B$5:$B$288,MATCH(J64,'JSON del cliente'!$A$5:$A$288,0)),"no está en el JSON"))</f>
        <v/>
      </c>
      <c r="L64" s="8"/>
      <c r="M64" s="8"/>
      <c r="N64" s="8"/>
      <c r="O64" s="8"/>
      <c r="P64" s="8"/>
      <c r="Q64" s="7" t="n">
        <f aca="false">IF(AND($A64=$A63,$B64=$B63),Q63,Q63+1)</f>
        <v>14</v>
      </c>
      <c r="R64" s="0" t="str">
        <f aca="false">IF($A64="","",IFERROR(INDEX(R$5:R63,MATCH($A64,$A$5:$A63,0)),MAX(R$5:R63)+1))</f>
        <v/>
      </c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9" t="str">
        <f aca="false">IF(J65="","",IFERROR(INDEX('JSON del cliente'!$B$5:$B$288,MATCH(J65,'JSON del cliente'!$A$5:$A$288,0)),"no está en el JSON"))</f>
        <v/>
      </c>
      <c r="L65" s="8"/>
      <c r="M65" s="8"/>
      <c r="N65" s="8"/>
      <c r="O65" s="8"/>
      <c r="P65" s="8"/>
      <c r="Q65" s="7" t="n">
        <f aca="false">IF(AND($A65=$A64,$B65=$B64),Q64,Q64+1)</f>
        <v>14</v>
      </c>
      <c r="R65" s="0" t="str">
        <f aca="false">IF($A65="","",IFERROR(INDEX(R$5:R64,MATCH($A65,$A$5:$A64,0)),MAX(R$5:R64)+1))</f>
        <v/>
      </c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9" t="str">
        <f aca="false">IF(J66="","",IFERROR(INDEX('JSON del cliente'!$B$5:$B$288,MATCH(J66,'JSON del cliente'!$A$5:$A$288,0)),"no está en el JSON"))</f>
        <v/>
      </c>
      <c r="L66" s="8"/>
      <c r="M66" s="8"/>
      <c r="N66" s="8"/>
      <c r="O66" s="8"/>
      <c r="P66" s="8"/>
      <c r="Q66" s="7" t="n">
        <f aca="false">IF(AND($A66=$A65,$B66=$B65),Q65,Q65+1)</f>
        <v>14</v>
      </c>
      <c r="R66" s="0" t="str">
        <f aca="false">IF($A66="","",IFERROR(INDEX(R$5:R65,MATCH($A66,$A$5:$A65,0)),MAX(R$5:R65)+1))</f>
        <v/>
      </c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9" t="str">
        <f aca="false">IF(J67="","",IFERROR(INDEX('JSON del cliente'!$B$5:$B$288,MATCH(J67,'JSON del cliente'!$A$5:$A$288,0)),"no está en el JSON"))</f>
        <v/>
      </c>
      <c r="L67" s="8"/>
      <c r="M67" s="8"/>
      <c r="N67" s="8"/>
      <c r="O67" s="8"/>
      <c r="P67" s="8"/>
      <c r="Q67" s="7" t="n">
        <f aca="false">IF(AND($A67=$A66,$B67=$B66),Q66,Q66+1)</f>
        <v>14</v>
      </c>
      <c r="R67" s="0" t="str">
        <f aca="false">IF($A67="","",IFERROR(INDEX(R$5:R66,MATCH($A67,$A$5:$A66,0)),MAX(R$5:R66)+1))</f>
        <v/>
      </c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9" t="str">
        <f aca="false">IF(J68="","",IFERROR(INDEX('JSON del cliente'!$B$5:$B$288,MATCH(J68,'JSON del cliente'!$A$5:$A$288,0)),"no está en el JSON"))</f>
        <v/>
      </c>
      <c r="L68" s="8"/>
      <c r="M68" s="8"/>
      <c r="N68" s="8"/>
      <c r="O68" s="8"/>
      <c r="P68" s="8"/>
      <c r="Q68" s="7" t="n">
        <f aca="false">IF(AND($A68=$A67,$B68=$B67),Q67,Q67+1)</f>
        <v>14</v>
      </c>
      <c r="R68" s="0" t="str">
        <f aca="false">IF($A68="","",IFERROR(INDEX(R$5:R67,MATCH($A68,$A$5:$A67,0)),MAX(R$5:R67)+1))</f>
        <v/>
      </c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9" t="str">
        <f aca="false">IF(J69="","",IFERROR(INDEX('JSON del cliente'!$B$5:$B$288,MATCH(J69,'JSON del cliente'!$A$5:$A$288,0)),"no está en el JSON"))</f>
        <v/>
      </c>
      <c r="L69" s="8"/>
      <c r="M69" s="8"/>
      <c r="N69" s="8"/>
      <c r="O69" s="8"/>
      <c r="P69" s="8"/>
      <c r="Q69" s="7" t="n">
        <f aca="false">IF(AND($A69=$A68,$B69=$B68),Q68,Q68+1)</f>
        <v>14</v>
      </c>
      <c r="R69" s="0" t="str">
        <f aca="false">IF($A69="","",IFERROR(INDEX(R$5:R68,MATCH($A69,$A$5:$A68,0)),MAX(R$5:R68)+1))</f>
        <v/>
      </c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9" t="str">
        <f aca="false">IF(J70="","",IFERROR(INDEX('JSON del cliente'!$B$5:$B$288,MATCH(J70,'JSON del cliente'!$A$5:$A$288,0)),"no está en el JSON"))</f>
        <v/>
      </c>
      <c r="L70" s="8"/>
      <c r="M70" s="8"/>
      <c r="N70" s="8"/>
      <c r="O70" s="8"/>
      <c r="P70" s="8"/>
      <c r="Q70" s="7" t="n">
        <f aca="false">IF(AND($A70=$A69,$B70=$B69),Q69,Q69+1)</f>
        <v>14</v>
      </c>
      <c r="R70" s="0" t="str">
        <f aca="false">IF($A70="","",IFERROR(INDEX(R$5:R69,MATCH($A70,$A$5:$A69,0)),MAX(R$5:R69)+1))</f>
        <v/>
      </c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9" t="str">
        <f aca="false">IF(J71="","",IFERROR(INDEX('JSON del cliente'!$B$5:$B$288,MATCH(J71,'JSON del cliente'!$A$5:$A$288,0)),"no está en el JSON"))</f>
        <v/>
      </c>
      <c r="L71" s="8"/>
      <c r="M71" s="8"/>
      <c r="N71" s="8"/>
      <c r="O71" s="8"/>
      <c r="P71" s="8"/>
      <c r="Q71" s="7" t="n">
        <f aca="false">IF(AND($A71=$A70,$B71=$B70),Q70,Q70+1)</f>
        <v>14</v>
      </c>
      <c r="R71" s="0" t="str">
        <f aca="false">IF($A71="","",IFERROR(INDEX(R$5:R70,MATCH($A71,$A$5:$A70,0)),MAX(R$5:R70)+1))</f>
        <v/>
      </c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9" t="str">
        <f aca="false">IF(J72="","",IFERROR(INDEX('JSON del cliente'!$B$5:$B$288,MATCH(J72,'JSON del cliente'!$A$5:$A$288,0)),"no está en el JSON"))</f>
        <v/>
      </c>
      <c r="L72" s="8"/>
      <c r="M72" s="8"/>
      <c r="N72" s="8"/>
      <c r="O72" s="8"/>
      <c r="P72" s="8"/>
      <c r="Q72" s="7" t="n">
        <f aca="false">IF(AND($A72=$A71,$B72=$B71),Q71,Q71+1)</f>
        <v>14</v>
      </c>
      <c r="R72" s="0" t="str">
        <f aca="false">IF($A72="","",IFERROR(INDEX(R$5:R71,MATCH($A72,$A$5:$A71,0)),MAX(R$5:R71)+1))</f>
        <v/>
      </c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9" t="str">
        <f aca="false">IF(J73="","",IFERROR(INDEX('JSON del cliente'!$B$5:$B$288,MATCH(J73,'JSON del cliente'!$A$5:$A$288,0)),"no está en el JSON"))</f>
        <v/>
      </c>
      <c r="L73" s="8"/>
      <c r="M73" s="8"/>
      <c r="N73" s="8"/>
      <c r="O73" s="8"/>
      <c r="P73" s="8"/>
      <c r="Q73" s="7" t="n">
        <f aca="false">IF(AND($A73=$A72,$B73=$B72),Q72,Q72+1)</f>
        <v>14</v>
      </c>
      <c r="R73" s="0" t="str">
        <f aca="false">IF($A73="","",IFERROR(INDEX(R$5:R72,MATCH($A73,$A$5:$A72,0)),MAX(R$5:R72)+1))</f>
        <v/>
      </c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9" t="str">
        <f aca="false">IF(J74="","",IFERROR(INDEX('JSON del cliente'!$B$5:$B$288,MATCH(J74,'JSON del cliente'!$A$5:$A$288,0)),"no está en el JSON"))</f>
        <v/>
      </c>
      <c r="L74" s="8"/>
      <c r="M74" s="8"/>
      <c r="N74" s="8"/>
      <c r="O74" s="8"/>
      <c r="P74" s="8"/>
      <c r="Q74" s="7" t="n">
        <f aca="false">IF(AND($A74=$A73,$B74=$B73),Q73,Q73+1)</f>
        <v>14</v>
      </c>
      <c r="R74" s="0" t="str">
        <f aca="false">IF($A74="","",IFERROR(INDEX(R$5:R73,MATCH($A74,$A$5:$A73,0)),MAX(R$5:R73)+1))</f>
        <v/>
      </c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9" t="str">
        <f aca="false">IF(J75="","",IFERROR(INDEX('JSON del cliente'!$B$5:$B$288,MATCH(J75,'JSON del cliente'!$A$5:$A$288,0)),"no está en el JSON"))</f>
        <v/>
      </c>
      <c r="L75" s="8"/>
      <c r="M75" s="8"/>
      <c r="N75" s="8"/>
      <c r="O75" s="8"/>
      <c r="P75" s="8"/>
      <c r="Q75" s="7" t="n">
        <f aca="false">IF(AND($A75=$A74,$B75=$B74),Q74,Q74+1)</f>
        <v>14</v>
      </c>
      <c r="R75" s="0" t="str">
        <f aca="false">IF($A75="","",IFERROR(INDEX(R$5:R74,MATCH($A75,$A$5:$A74,0)),MAX(R$5:R74)+1))</f>
        <v/>
      </c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9" t="str">
        <f aca="false">IF(J76="","",IFERROR(INDEX('JSON del cliente'!$B$5:$B$288,MATCH(J76,'JSON del cliente'!$A$5:$A$288,0)),"no está en el JSON"))</f>
        <v/>
      </c>
      <c r="L76" s="8"/>
      <c r="M76" s="8"/>
      <c r="N76" s="8"/>
      <c r="O76" s="8"/>
      <c r="P76" s="8"/>
      <c r="Q76" s="7" t="n">
        <f aca="false">IF(AND($A76=$A75,$B76=$B75),Q75,Q75+1)</f>
        <v>14</v>
      </c>
      <c r="R76" s="0" t="str">
        <f aca="false">IF($A76="","",IFERROR(INDEX(R$5:R75,MATCH($A76,$A$5:$A75,0)),MAX(R$5:R75)+1))</f>
        <v/>
      </c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9" t="str">
        <f aca="false">IF(J77="","",IFERROR(INDEX('JSON del cliente'!$B$5:$B$288,MATCH(J77,'JSON del cliente'!$A$5:$A$288,0)),"no está en el JSON"))</f>
        <v/>
      </c>
      <c r="L77" s="8"/>
      <c r="M77" s="8"/>
      <c r="N77" s="8"/>
      <c r="O77" s="8"/>
      <c r="P77" s="8"/>
      <c r="Q77" s="7" t="n">
        <f aca="false">IF(AND($A77=$A76,$B77=$B76),Q76,Q76+1)</f>
        <v>14</v>
      </c>
      <c r="R77" s="0" t="str">
        <f aca="false">IF($A77="","",IFERROR(INDEX(R$5:R76,MATCH($A77,$A$5:$A76,0)),MAX(R$5:R76)+1))</f>
        <v/>
      </c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9" t="str">
        <f aca="false">IF(J78="","",IFERROR(INDEX('JSON del cliente'!$B$5:$B$288,MATCH(J78,'JSON del cliente'!$A$5:$A$288,0)),"no está en el JSON"))</f>
        <v/>
      </c>
      <c r="L78" s="8"/>
      <c r="M78" s="8"/>
      <c r="N78" s="8"/>
      <c r="O78" s="8"/>
      <c r="P78" s="8"/>
      <c r="Q78" s="7" t="n">
        <f aca="false">IF(AND($A78=$A77,$B78=$B77),Q77,Q77+1)</f>
        <v>14</v>
      </c>
      <c r="R78" s="0" t="str">
        <f aca="false">IF($A78="","",IFERROR(INDEX(R$5:R77,MATCH($A78,$A$5:$A77,0)),MAX(R$5:R77)+1))</f>
        <v/>
      </c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9" t="str">
        <f aca="false">IF(J79="","",IFERROR(INDEX('JSON del cliente'!$B$5:$B$288,MATCH(J79,'JSON del cliente'!$A$5:$A$288,0)),"no está en el JSON"))</f>
        <v/>
      </c>
      <c r="L79" s="8"/>
      <c r="M79" s="8"/>
      <c r="N79" s="8"/>
      <c r="O79" s="8"/>
      <c r="P79" s="8"/>
      <c r="Q79" s="7" t="n">
        <f aca="false">IF(AND($A79=$A78,$B79=$B78),Q78,Q78+1)</f>
        <v>14</v>
      </c>
      <c r="R79" s="0" t="str">
        <f aca="false">IF($A79="","",IFERROR(INDEX(R$5:R78,MATCH($A79,$A$5:$A78,0)),MAX(R$5:R78)+1))</f>
        <v/>
      </c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9" t="str">
        <f aca="false">IF(J80="","",IFERROR(INDEX('JSON del cliente'!$B$5:$B$288,MATCH(J80,'JSON del cliente'!$A$5:$A$288,0)),"no está en el JSON"))</f>
        <v/>
      </c>
      <c r="L80" s="8"/>
      <c r="M80" s="8"/>
      <c r="N80" s="8"/>
      <c r="O80" s="8"/>
      <c r="P80" s="8"/>
      <c r="Q80" s="7" t="n">
        <f aca="false">IF(AND($A80=$A79,$B80=$B79),Q79,Q79+1)</f>
        <v>14</v>
      </c>
      <c r="R80" s="0" t="str">
        <f aca="false">IF($A80="","",IFERROR(INDEX(R$5:R79,MATCH($A80,$A$5:$A79,0)),MAX(R$5:R79)+1))</f>
        <v/>
      </c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9" t="str">
        <f aca="false">IF(J81="","",IFERROR(INDEX('JSON del cliente'!$B$5:$B$288,MATCH(J81,'JSON del cliente'!$A$5:$A$288,0)),"no está en el JSON"))</f>
        <v/>
      </c>
      <c r="L81" s="8"/>
      <c r="M81" s="8"/>
      <c r="N81" s="8"/>
      <c r="O81" s="8"/>
      <c r="P81" s="8"/>
      <c r="Q81" s="7" t="n">
        <f aca="false">IF(AND($A81=$A80,$B81=$B80),Q80,Q80+1)</f>
        <v>14</v>
      </c>
      <c r="R81" s="0" t="str">
        <f aca="false">IF($A81="","",IFERROR(INDEX(R$5:R80,MATCH($A81,$A$5:$A80,0)),MAX(R$5:R80)+1))</f>
        <v/>
      </c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9" t="str">
        <f aca="false">IF(J82="","",IFERROR(INDEX('JSON del cliente'!$B$5:$B$288,MATCH(J82,'JSON del cliente'!$A$5:$A$288,0)),"no está en el JSON"))</f>
        <v/>
      </c>
      <c r="L82" s="8"/>
      <c r="M82" s="8"/>
      <c r="N82" s="8"/>
      <c r="O82" s="8"/>
      <c r="P82" s="8"/>
      <c r="Q82" s="7" t="n">
        <f aca="false">IF(AND($A82=$A81,$B82=$B81),Q81,Q81+1)</f>
        <v>14</v>
      </c>
      <c r="R82" s="0" t="str">
        <f aca="false">IF($A82="","",IFERROR(INDEX(R$5:R81,MATCH($A82,$A$5:$A81,0)),MAX(R$5:R81)+1))</f>
        <v/>
      </c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9" t="str">
        <f aca="false">IF(J83="","",IFERROR(INDEX('JSON del cliente'!$B$5:$B$288,MATCH(J83,'JSON del cliente'!$A$5:$A$288,0)),"no está en el JSON"))</f>
        <v/>
      </c>
      <c r="L83" s="8"/>
      <c r="M83" s="8"/>
      <c r="N83" s="8"/>
      <c r="O83" s="8"/>
      <c r="P83" s="8"/>
      <c r="Q83" s="7" t="n">
        <f aca="false">IF(AND($A83=$A82,$B83=$B82),Q82,Q82+1)</f>
        <v>14</v>
      </c>
      <c r="R83" s="0" t="str">
        <f aca="false">IF($A83="","",IFERROR(INDEX(R$5:R82,MATCH($A83,$A$5:$A82,0)),MAX(R$5:R82)+1))</f>
        <v/>
      </c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9" t="str">
        <f aca="false">IF(J84="","",IFERROR(INDEX('JSON del cliente'!$B$5:$B$288,MATCH(J84,'JSON del cliente'!$A$5:$A$288,0)),"no está en el JSON"))</f>
        <v/>
      </c>
      <c r="L84" s="8"/>
      <c r="M84" s="8"/>
      <c r="N84" s="8"/>
      <c r="O84" s="8"/>
      <c r="P84" s="8"/>
      <c r="Q84" s="7" t="n">
        <f aca="false">IF(AND($A84=$A83,$B84=$B83),Q83,Q83+1)</f>
        <v>14</v>
      </c>
      <c r="R84" s="0" t="str">
        <f aca="false">IF($A84="","",IFERROR(INDEX(R$5:R83,MATCH($A84,$A$5:$A83,0)),MAX(R$5:R83)+1))</f>
        <v/>
      </c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9" t="str">
        <f aca="false">IF(J85="","",IFERROR(INDEX('JSON del cliente'!$B$5:$B$288,MATCH(J85,'JSON del cliente'!$A$5:$A$288,0)),"no está en el JSON"))</f>
        <v/>
      </c>
      <c r="L85" s="8"/>
      <c r="M85" s="8"/>
      <c r="N85" s="8"/>
      <c r="O85" s="8"/>
      <c r="P85" s="8"/>
      <c r="Q85" s="7" t="n">
        <f aca="false">IF(AND($A85=$A84,$B85=$B84),Q84,Q84+1)</f>
        <v>14</v>
      </c>
      <c r="R85" s="0" t="str">
        <f aca="false">IF($A85="","",IFERROR(INDEX(R$5:R84,MATCH($A85,$A$5:$A84,0)),MAX(R$5:R84)+1))</f>
        <v/>
      </c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9" t="str">
        <f aca="false">IF(J86="","",IFERROR(INDEX('JSON del cliente'!$B$5:$B$288,MATCH(J86,'JSON del cliente'!$A$5:$A$288,0)),"no está en el JSON"))</f>
        <v/>
      </c>
      <c r="L86" s="8"/>
      <c r="M86" s="8"/>
      <c r="N86" s="8"/>
      <c r="O86" s="8"/>
      <c r="P86" s="8"/>
      <c r="Q86" s="7" t="n">
        <f aca="false">IF(AND($A86=$A85,$B86=$B85),Q85,Q85+1)</f>
        <v>14</v>
      </c>
      <c r="R86" s="0" t="str">
        <f aca="false">IF($A86="","",IFERROR(INDEX(R$5:R85,MATCH($A86,$A$5:$A85,0)),MAX(R$5:R85)+1))</f>
        <v/>
      </c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9" t="str">
        <f aca="false">IF(J87="","",IFERROR(INDEX('JSON del cliente'!$B$5:$B$288,MATCH(J87,'JSON del cliente'!$A$5:$A$288,0)),"no está en el JSON"))</f>
        <v/>
      </c>
      <c r="L87" s="8"/>
      <c r="M87" s="8"/>
      <c r="N87" s="8"/>
      <c r="O87" s="8"/>
      <c r="P87" s="8"/>
      <c r="Q87" s="7" t="n">
        <f aca="false">IF(AND($A87=$A86,$B87=$B86),Q86,Q86+1)</f>
        <v>14</v>
      </c>
      <c r="R87" s="0" t="str">
        <f aca="false">IF($A87="","",IFERROR(INDEX(R$5:R86,MATCH($A87,$A$5:$A86,0)),MAX(R$5:R86)+1))</f>
        <v/>
      </c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9" t="str">
        <f aca="false">IF(J88="","",IFERROR(INDEX('JSON del cliente'!$B$5:$B$288,MATCH(J88,'JSON del cliente'!$A$5:$A$288,0)),"no está en el JSON"))</f>
        <v/>
      </c>
      <c r="L88" s="8"/>
      <c r="M88" s="8"/>
      <c r="N88" s="8"/>
      <c r="O88" s="8"/>
      <c r="P88" s="8"/>
      <c r="Q88" s="7" t="n">
        <f aca="false">IF(AND($A88=$A87,$B88=$B87),Q87,Q87+1)</f>
        <v>14</v>
      </c>
      <c r="R88" s="0" t="str">
        <f aca="false">IF($A88="","",IFERROR(INDEX(R$5:R87,MATCH($A88,$A$5:$A87,0)),MAX(R$5:R87)+1))</f>
        <v/>
      </c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9" t="str">
        <f aca="false">IF(J89="","",IFERROR(INDEX('JSON del cliente'!$B$5:$B$288,MATCH(J89,'JSON del cliente'!$A$5:$A$288,0)),"no está en el JSON"))</f>
        <v/>
      </c>
      <c r="L89" s="8"/>
      <c r="M89" s="8"/>
      <c r="N89" s="8"/>
      <c r="O89" s="8"/>
      <c r="P89" s="8"/>
      <c r="Q89" s="7" t="n">
        <f aca="false">IF(AND($A89=$A88,$B89=$B88),Q88,Q88+1)</f>
        <v>14</v>
      </c>
      <c r="R89" s="0" t="str">
        <f aca="false">IF($A89="","",IFERROR(INDEX(R$5:R88,MATCH($A89,$A$5:$A88,0)),MAX(R$5:R88)+1))</f>
        <v/>
      </c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9" t="str">
        <f aca="false">IF(J90="","",IFERROR(INDEX('JSON del cliente'!$B$5:$B$288,MATCH(J90,'JSON del cliente'!$A$5:$A$288,0)),"no está en el JSON"))</f>
        <v/>
      </c>
      <c r="L90" s="8"/>
      <c r="M90" s="8"/>
      <c r="N90" s="8"/>
      <c r="O90" s="8"/>
      <c r="P90" s="8"/>
      <c r="Q90" s="7" t="n">
        <f aca="false">IF(AND($A90=$A89,$B90=$B89),Q89,Q89+1)</f>
        <v>14</v>
      </c>
      <c r="R90" s="0" t="str">
        <f aca="false">IF($A90="","",IFERROR(INDEX(R$5:R89,MATCH($A90,$A$5:$A89,0)),MAX(R$5:R89)+1))</f>
        <v/>
      </c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9" t="str">
        <f aca="false">IF(J91="","",IFERROR(INDEX('JSON del cliente'!$B$5:$B$288,MATCH(J91,'JSON del cliente'!$A$5:$A$288,0)),"no está en el JSON"))</f>
        <v/>
      </c>
      <c r="L91" s="8"/>
      <c r="M91" s="8"/>
      <c r="N91" s="8"/>
      <c r="O91" s="8"/>
      <c r="P91" s="8"/>
      <c r="Q91" s="7" t="n">
        <f aca="false">IF(AND($A91=$A90,$B91=$B90),Q90,Q90+1)</f>
        <v>14</v>
      </c>
      <c r="R91" s="0" t="str">
        <f aca="false">IF($A91="","",IFERROR(INDEX(R$5:R90,MATCH($A91,$A$5:$A90,0)),MAX(R$5:R90)+1))</f>
        <v/>
      </c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9" t="str">
        <f aca="false">IF(J92="","",IFERROR(INDEX('JSON del cliente'!$B$5:$B$288,MATCH(J92,'JSON del cliente'!$A$5:$A$288,0)),"no está en el JSON"))</f>
        <v/>
      </c>
      <c r="L92" s="8"/>
      <c r="M92" s="8"/>
      <c r="N92" s="8"/>
      <c r="O92" s="8"/>
      <c r="P92" s="8"/>
      <c r="Q92" s="7" t="n">
        <f aca="false">IF(AND($A92=$A91,$B92=$B91),Q91,Q91+1)</f>
        <v>14</v>
      </c>
      <c r="R92" s="0" t="str">
        <f aca="false">IF($A92="","",IFERROR(INDEX(R$5:R91,MATCH($A92,$A$5:$A91,0)),MAX(R$5:R91)+1))</f>
        <v/>
      </c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9" t="str">
        <f aca="false">IF(J93="","",IFERROR(INDEX('JSON del cliente'!$B$5:$B$288,MATCH(J93,'JSON del cliente'!$A$5:$A$288,0)),"no está en el JSON"))</f>
        <v/>
      </c>
      <c r="L93" s="8"/>
      <c r="M93" s="8"/>
      <c r="N93" s="8"/>
      <c r="O93" s="8"/>
      <c r="P93" s="8"/>
      <c r="Q93" s="7" t="n">
        <f aca="false">IF(AND($A93=$A92,$B93=$B92),Q92,Q92+1)</f>
        <v>14</v>
      </c>
      <c r="R93" s="0" t="str">
        <f aca="false">IF($A93="","",IFERROR(INDEX(R$5:R92,MATCH($A93,$A$5:$A92,0)),MAX(R$5:R92)+1))</f>
        <v/>
      </c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9" t="str">
        <f aca="false">IF(J94="","",IFERROR(INDEX('JSON del cliente'!$B$5:$B$288,MATCH(J94,'JSON del cliente'!$A$5:$A$288,0)),"no está en el JSON"))</f>
        <v/>
      </c>
      <c r="L94" s="8"/>
      <c r="M94" s="8"/>
      <c r="N94" s="8"/>
      <c r="O94" s="8"/>
      <c r="P94" s="8"/>
      <c r="Q94" s="7" t="n">
        <f aca="false">IF(AND($A94=$A93,$B94=$B93),Q93,Q93+1)</f>
        <v>14</v>
      </c>
      <c r="R94" s="0" t="str">
        <f aca="false">IF($A94="","",IFERROR(INDEX(R$5:R93,MATCH($A94,$A$5:$A93,0)),MAX(R$5:R93)+1))</f>
        <v/>
      </c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9" t="str">
        <f aca="false">IF(J95="","",IFERROR(INDEX('JSON del cliente'!$B$5:$B$288,MATCH(J95,'JSON del cliente'!$A$5:$A$288,0)),"no está en el JSON"))</f>
        <v/>
      </c>
      <c r="L95" s="8"/>
      <c r="M95" s="8"/>
      <c r="N95" s="8"/>
      <c r="O95" s="8"/>
      <c r="P95" s="8"/>
      <c r="Q95" s="7" t="n">
        <f aca="false">IF(AND($A95=$A94,$B95=$B94),Q94,Q94+1)</f>
        <v>14</v>
      </c>
      <c r="R95" s="0" t="str">
        <f aca="false">IF($A95="","",IFERROR(INDEX(R$5:R94,MATCH($A95,$A$5:$A94,0)),MAX(R$5:R94)+1))</f>
        <v/>
      </c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9" t="str">
        <f aca="false">IF(J96="","",IFERROR(INDEX('JSON del cliente'!$B$5:$B$288,MATCH(J96,'JSON del cliente'!$A$5:$A$288,0)),"no está en el JSON"))</f>
        <v/>
      </c>
      <c r="L96" s="8"/>
      <c r="M96" s="8"/>
      <c r="N96" s="8"/>
      <c r="O96" s="8"/>
      <c r="P96" s="8"/>
      <c r="Q96" s="7" t="n">
        <f aca="false">IF(AND($A96=$A95,$B96=$B95),Q95,Q95+1)</f>
        <v>14</v>
      </c>
      <c r="R96" s="0" t="str">
        <f aca="false">IF($A96="","",IFERROR(INDEX(R$5:R95,MATCH($A96,$A$5:$A95,0)),MAX(R$5:R95)+1))</f>
        <v/>
      </c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9" t="str">
        <f aca="false">IF(J97="","",IFERROR(INDEX('JSON del cliente'!$B$5:$B$288,MATCH(J97,'JSON del cliente'!$A$5:$A$288,0)),"no está en el JSON"))</f>
        <v/>
      </c>
      <c r="L97" s="8"/>
      <c r="M97" s="8"/>
      <c r="N97" s="8"/>
      <c r="O97" s="8"/>
      <c r="P97" s="8"/>
      <c r="Q97" s="7" t="n">
        <f aca="false">IF(AND($A97=$A96,$B97=$B96),Q96,Q96+1)</f>
        <v>14</v>
      </c>
      <c r="R97" s="0" t="str">
        <f aca="false">IF($A97="","",IFERROR(INDEX(R$5:R96,MATCH($A97,$A$5:$A96,0)),MAX(R$5:R96)+1))</f>
        <v/>
      </c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9" t="str">
        <f aca="false">IF(J98="","",IFERROR(INDEX('JSON del cliente'!$B$5:$B$288,MATCH(J98,'JSON del cliente'!$A$5:$A$288,0)),"no está en el JSON"))</f>
        <v/>
      </c>
      <c r="L98" s="8"/>
      <c r="M98" s="8"/>
      <c r="N98" s="8"/>
      <c r="O98" s="8"/>
      <c r="P98" s="8"/>
      <c r="Q98" s="7" t="n">
        <f aca="false">IF(AND($A98=$A97,$B98=$B97),Q97,Q97+1)</f>
        <v>14</v>
      </c>
      <c r="R98" s="0" t="str">
        <f aca="false">IF($A98="","",IFERROR(INDEX(R$5:R97,MATCH($A98,$A$5:$A97,0)),MAX(R$5:R97)+1))</f>
        <v/>
      </c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9" t="str">
        <f aca="false">IF(J99="","",IFERROR(INDEX('JSON del cliente'!$B$5:$B$288,MATCH(J99,'JSON del cliente'!$A$5:$A$288,0)),"no está en el JSON"))</f>
        <v/>
      </c>
      <c r="L99" s="8"/>
      <c r="M99" s="8"/>
      <c r="N99" s="8"/>
      <c r="O99" s="8"/>
      <c r="P99" s="8"/>
      <c r="Q99" s="7" t="n">
        <f aca="false">IF(AND($A99=$A98,$B99=$B98),Q98,Q98+1)</f>
        <v>14</v>
      </c>
      <c r="R99" s="0" t="str">
        <f aca="false">IF($A99="","",IFERROR(INDEX(R$5:R98,MATCH($A99,$A$5:$A98,0)),MAX(R$5:R98)+1))</f>
        <v/>
      </c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 t="str">
        <f aca="false">IF(J100="","",IFERROR(INDEX('JSON del cliente'!$B$5:$B$288,MATCH(J100,'JSON del cliente'!$A$5:$A$288,0)),"no está en el JSON"))</f>
        <v/>
      </c>
      <c r="L100" s="8"/>
      <c r="M100" s="8"/>
      <c r="N100" s="8"/>
      <c r="O100" s="8"/>
      <c r="P100" s="8"/>
      <c r="Q100" s="7" t="n">
        <f aca="false">IF(AND($A100=$A99,$B100=$B99),Q99,Q99+1)</f>
        <v>14</v>
      </c>
      <c r="R100" s="0" t="str">
        <f aca="false">IF($A100="","",IFERROR(INDEX(R$5:R99,MATCH($A100,$A$5:$A99,0)),MAX(R$5:R99)+1))</f>
        <v/>
      </c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 t="str">
        <f aca="false">IF(J101="","",IFERROR(INDEX('JSON del cliente'!$B$5:$B$288,MATCH(J101,'JSON del cliente'!$A$5:$A$288,0)),"no está en el JSON"))</f>
        <v/>
      </c>
      <c r="L101" s="8"/>
      <c r="M101" s="8"/>
      <c r="N101" s="8"/>
      <c r="O101" s="8"/>
      <c r="P101" s="8"/>
      <c r="Q101" s="7" t="n">
        <f aca="false">IF(AND($A101=$A100,$B101=$B100),Q100,Q100+1)</f>
        <v>14</v>
      </c>
      <c r="R101" s="0" t="str">
        <f aca="false">IF($A101="","",IFERROR(INDEX(R$5:R100,MATCH($A101,$A$5:$A100,0)),MAX(R$5:R100)+1))</f>
        <v/>
      </c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 t="str">
        <f aca="false">IF(J102="","",IFERROR(INDEX('JSON del cliente'!$B$5:$B$288,MATCH(J102,'JSON del cliente'!$A$5:$A$288,0)),"no está en el JSON"))</f>
        <v/>
      </c>
      <c r="L102" s="8"/>
      <c r="M102" s="8"/>
      <c r="N102" s="8"/>
      <c r="O102" s="8"/>
      <c r="P102" s="8"/>
      <c r="Q102" s="7" t="n">
        <f aca="false">IF(AND($A102=$A101,$B102=$B101),Q101,Q101+1)</f>
        <v>14</v>
      </c>
      <c r="R102" s="0" t="str">
        <f aca="false">IF($A102="","",IFERROR(INDEX(R$5:R101,MATCH($A102,$A$5:$A101,0)),MAX(R$5:R101)+1))</f>
        <v/>
      </c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9" t="str">
        <f aca="false">IF(J103="","",IFERROR(INDEX('JSON del cliente'!$B$5:$B$288,MATCH(J103,'JSON del cliente'!$A$5:$A$288,0)),"no está en el JSON"))</f>
        <v/>
      </c>
      <c r="L103" s="8"/>
      <c r="M103" s="8"/>
      <c r="N103" s="8"/>
      <c r="O103" s="8"/>
      <c r="P103" s="8"/>
      <c r="Q103" s="7" t="n">
        <f aca="false">IF(AND($A103=$A102,$B103=$B102),Q102,Q102+1)</f>
        <v>14</v>
      </c>
      <c r="R103" s="0" t="str">
        <f aca="false">IF($A103="","",IFERROR(INDEX(R$5:R102,MATCH($A103,$A$5:$A102,0)),MAX(R$5:R102)+1))</f>
        <v/>
      </c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9" t="str">
        <f aca="false">IF(J104="","",IFERROR(INDEX('JSON del cliente'!$B$5:$B$288,MATCH(J104,'JSON del cliente'!$A$5:$A$288,0)),"no está en el JSON"))</f>
        <v/>
      </c>
      <c r="L104" s="8"/>
      <c r="M104" s="8"/>
      <c r="N104" s="8"/>
      <c r="O104" s="8"/>
      <c r="P104" s="8"/>
      <c r="Q104" s="7" t="n">
        <f aca="false">IF(AND($A104=$A103,$B104=$B103),Q103,Q103+1)</f>
        <v>14</v>
      </c>
      <c r="R104" s="0" t="str">
        <f aca="false">IF($A104="","",IFERROR(INDEX(R$5:R103,MATCH($A104,$A$5:$A103,0)),MAX(R$5:R103)+1))</f>
        <v/>
      </c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9" t="str">
        <f aca="false">IF(J105="","",IFERROR(INDEX('JSON del cliente'!$B$5:$B$288,MATCH(J105,'JSON del cliente'!$A$5:$A$288,0)),"no está en el JSON"))</f>
        <v/>
      </c>
      <c r="L105" s="8"/>
      <c r="M105" s="8"/>
      <c r="N105" s="8"/>
      <c r="O105" s="8"/>
      <c r="P105" s="8"/>
      <c r="Q105" s="7" t="n">
        <f aca="false">IF(AND($A105=$A104,$B105=$B104),Q104,Q104+1)</f>
        <v>14</v>
      </c>
      <c r="R105" s="0" t="str">
        <f aca="false">IF($A105="","",IFERROR(INDEX(R$5:R104,MATCH($A105,$A$5:$A104,0)),MAX(R$5:R104)+1))</f>
        <v/>
      </c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 t="str">
        <f aca="false">IF(J106="","",IFERROR(INDEX('JSON del cliente'!$B$5:$B$288,MATCH(J106,'JSON del cliente'!$A$5:$A$288,0)),"no está en el JSON"))</f>
        <v/>
      </c>
      <c r="L106" s="8"/>
      <c r="M106" s="8"/>
      <c r="N106" s="8"/>
      <c r="O106" s="8"/>
      <c r="P106" s="8"/>
      <c r="Q106" s="7" t="n">
        <f aca="false">IF(AND($A106=$A105,$B106=$B105),Q105,Q105+1)</f>
        <v>14</v>
      </c>
      <c r="R106" s="0" t="str">
        <f aca="false">IF($A106="","",IFERROR(INDEX(R$5:R105,MATCH($A106,$A$5:$A105,0)),MAX(R$5:R105)+1))</f>
        <v/>
      </c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9" t="str">
        <f aca="false">IF(J107="","",IFERROR(INDEX('JSON del cliente'!$B$5:$B$288,MATCH(J107,'JSON del cliente'!$A$5:$A$288,0)),"no está en el JSON"))</f>
        <v/>
      </c>
      <c r="L107" s="8"/>
      <c r="M107" s="8"/>
      <c r="N107" s="8"/>
      <c r="O107" s="8"/>
      <c r="P107" s="8"/>
      <c r="Q107" s="7" t="n">
        <f aca="false">IF(AND($A107=$A106,$B107=$B106),Q106,Q106+1)</f>
        <v>14</v>
      </c>
      <c r="R107" s="0" t="str">
        <f aca="false">IF($A107="","",IFERROR(INDEX(R$5:R106,MATCH($A107,$A$5:$A106,0)),MAX(R$5:R106)+1))</f>
        <v/>
      </c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9" t="str">
        <f aca="false">IF(J108="","",IFERROR(INDEX('JSON del cliente'!$B$5:$B$288,MATCH(J108,'JSON del cliente'!$A$5:$A$288,0)),"no está en el JSON"))</f>
        <v/>
      </c>
      <c r="L108" s="8"/>
      <c r="M108" s="8"/>
      <c r="N108" s="8"/>
      <c r="O108" s="8"/>
      <c r="P108" s="8"/>
      <c r="Q108" s="7" t="n">
        <f aca="false">IF(AND($A108=$A107,$B108=$B107),Q107,Q107+1)</f>
        <v>14</v>
      </c>
      <c r="R108" s="0" t="str">
        <f aca="false">IF($A108="","",IFERROR(INDEX(R$5:R107,MATCH($A108,$A$5:$A107,0)),MAX(R$5:R107)+1))</f>
        <v/>
      </c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9" t="str">
        <f aca="false">IF(J109="","",IFERROR(INDEX('JSON del cliente'!$B$5:$B$288,MATCH(J109,'JSON del cliente'!$A$5:$A$288,0)),"no está en el JSON"))</f>
        <v/>
      </c>
      <c r="L109" s="8"/>
      <c r="M109" s="8"/>
      <c r="N109" s="8"/>
      <c r="O109" s="8"/>
      <c r="P109" s="8"/>
      <c r="Q109" s="7" t="n">
        <f aca="false">IF(AND($A109=$A108,$B109=$B108),Q108,Q108+1)</f>
        <v>14</v>
      </c>
      <c r="R109" s="0" t="str">
        <f aca="false">IF($A109="","",IFERROR(INDEX(R$5:R108,MATCH($A109,$A$5:$A108,0)),MAX(R$5:R108)+1))</f>
        <v/>
      </c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9" t="str">
        <f aca="false">IF(J110="","",IFERROR(INDEX('JSON del cliente'!$B$5:$B$288,MATCH(J110,'JSON del cliente'!$A$5:$A$288,0)),"no está en el JSON"))</f>
        <v/>
      </c>
      <c r="L110" s="8"/>
      <c r="M110" s="8"/>
      <c r="N110" s="8"/>
      <c r="O110" s="8"/>
      <c r="P110" s="8"/>
      <c r="Q110" s="7" t="n">
        <f aca="false">IF(AND($A110=$A109,$B110=$B109),Q109,Q109+1)</f>
        <v>14</v>
      </c>
      <c r="R110" s="0" t="str">
        <f aca="false">IF($A110="","",IFERROR(INDEX(R$5:R109,MATCH($A110,$A$5:$A109,0)),MAX(R$5:R109)+1))</f>
        <v/>
      </c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9" t="str">
        <f aca="false">IF(J111="","",IFERROR(INDEX('JSON del cliente'!$B$5:$B$288,MATCH(J111,'JSON del cliente'!$A$5:$A$288,0)),"no está en el JSON"))</f>
        <v/>
      </c>
      <c r="L111" s="8"/>
      <c r="M111" s="8"/>
      <c r="N111" s="8"/>
      <c r="O111" s="8"/>
      <c r="P111" s="8"/>
      <c r="Q111" s="7" t="n">
        <f aca="false">IF(AND($A111=$A110,$B111=$B110),Q110,Q110+1)</f>
        <v>14</v>
      </c>
      <c r="R111" s="0" t="str">
        <f aca="false">IF($A111="","",IFERROR(INDEX(R$5:R110,MATCH($A111,$A$5:$A110,0)),MAX(R$5:R110)+1))</f>
        <v/>
      </c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9" t="str">
        <f aca="false">IF(J112="","",IFERROR(INDEX('JSON del cliente'!$B$5:$B$288,MATCH(J112,'JSON del cliente'!$A$5:$A$288,0)),"no está en el JSON"))</f>
        <v/>
      </c>
      <c r="L112" s="8"/>
      <c r="M112" s="8"/>
      <c r="N112" s="8"/>
      <c r="O112" s="8"/>
      <c r="P112" s="8"/>
      <c r="Q112" s="7" t="n">
        <f aca="false">IF(AND($A112=$A111,$B112=$B111),Q111,Q111+1)</f>
        <v>14</v>
      </c>
      <c r="R112" s="0" t="str">
        <f aca="false">IF($A112="","",IFERROR(INDEX(R$5:R111,MATCH($A112,$A$5:$A111,0)),MAX(R$5:R111)+1))</f>
        <v/>
      </c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 t="str">
        <f aca="false">IF(J113="","",IFERROR(INDEX('JSON del cliente'!$B$5:$B$288,MATCH(J113,'JSON del cliente'!$A$5:$A$288,0)),"no está en el JSON"))</f>
        <v/>
      </c>
      <c r="L113" s="8"/>
      <c r="M113" s="8"/>
      <c r="N113" s="8"/>
      <c r="O113" s="8"/>
      <c r="P113" s="8"/>
      <c r="Q113" s="7" t="n">
        <f aca="false">IF(AND($A113=$A112,$B113=$B112),Q112,Q112+1)</f>
        <v>14</v>
      </c>
      <c r="R113" s="0" t="str">
        <f aca="false">IF($A113="","",IFERROR(INDEX(R$5:R112,MATCH($A113,$A$5:$A112,0)),MAX(R$5:R112)+1))</f>
        <v/>
      </c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 t="str">
        <f aca="false">IF(J114="","",IFERROR(INDEX('JSON del cliente'!$B$5:$B$288,MATCH(J114,'JSON del cliente'!$A$5:$A$288,0)),"no está en el JSON"))</f>
        <v/>
      </c>
      <c r="L114" s="8"/>
      <c r="M114" s="8"/>
      <c r="N114" s="8"/>
      <c r="O114" s="8"/>
      <c r="P114" s="8"/>
      <c r="Q114" s="7" t="n">
        <f aca="false">IF(AND($A114=$A113,$B114=$B113),Q113,Q113+1)</f>
        <v>14</v>
      </c>
      <c r="R114" s="0" t="str">
        <f aca="false">IF($A114="","",IFERROR(INDEX(R$5:R113,MATCH($A114,$A$5:$A113,0)),MAX(R$5:R113)+1))</f>
        <v/>
      </c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 t="str">
        <f aca="false">IF(J115="","",IFERROR(INDEX('JSON del cliente'!$B$5:$B$288,MATCH(J115,'JSON del cliente'!$A$5:$A$288,0)),"no está en el JSON"))</f>
        <v/>
      </c>
      <c r="L115" s="8"/>
      <c r="M115" s="8"/>
      <c r="N115" s="8"/>
      <c r="O115" s="8"/>
      <c r="P115" s="8"/>
      <c r="Q115" s="7" t="n">
        <f aca="false">IF(AND($A115=$A114,$B115=$B114),Q114,Q114+1)</f>
        <v>14</v>
      </c>
      <c r="R115" s="0" t="str">
        <f aca="false">IF($A115="","",IFERROR(INDEX(R$5:R114,MATCH($A115,$A$5:$A114,0)),MAX(R$5:R114)+1))</f>
        <v/>
      </c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 t="str">
        <f aca="false">IF(J116="","",IFERROR(INDEX('JSON del cliente'!$B$5:$B$288,MATCH(J116,'JSON del cliente'!$A$5:$A$288,0)),"no está en el JSON"))</f>
        <v/>
      </c>
      <c r="L116" s="8"/>
      <c r="M116" s="8"/>
      <c r="N116" s="8"/>
      <c r="O116" s="8"/>
      <c r="P116" s="8"/>
      <c r="Q116" s="7" t="n">
        <f aca="false">IF(AND($A116=$A115,$B116=$B115),Q115,Q115+1)</f>
        <v>14</v>
      </c>
      <c r="R116" s="0" t="str">
        <f aca="false">IF($A116="","",IFERROR(INDEX(R$5:R115,MATCH($A116,$A$5:$A115,0)),MAX(R$5:R115)+1))</f>
        <v/>
      </c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 t="str">
        <f aca="false">IF(J117="","",IFERROR(INDEX('JSON del cliente'!$B$5:$B$288,MATCH(J117,'JSON del cliente'!$A$5:$A$288,0)),"no está en el JSON"))</f>
        <v/>
      </c>
      <c r="L117" s="8"/>
      <c r="M117" s="8"/>
      <c r="N117" s="8"/>
      <c r="O117" s="8"/>
      <c r="P117" s="8"/>
      <c r="Q117" s="7" t="n">
        <f aca="false">IF(AND($A117=$A116,$B117=$B116),Q116,Q116+1)</f>
        <v>14</v>
      </c>
      <c r="R117" s="0" t="str">
        <f aca="false">IF($A117="","",IFERROR(INDEX(R$5:R116,MATCH($A117,$A$5:$A116,0)),MAX(R$5:R116)+1))</f>
        <v/>
      </c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 t="str">
        <f aca="false">IF(J118="","",IFERROR(INDEX('JSON del cliente'!$B$5:$B$288,MATCH(J118,'JSON del cliente'!$A$5:$A$288,0)),"no está en el JSON"))</f>
        <v/>
      </c>
      <c r="L118" s="8"/>
      <c r="M118" s="8"/>
      <c r="N118" s="8"/>
      <c r="O118" s="8"/>
      <c r="P118" s="8"/>
      <c r="Q118" s="7" t="n">
        <f aca="false">IF(AND($A118=$A117,$B118=$B117),Q117,Q117+1)</f>
        <v>14</v>
      </c>
      <c r="R118" s="0" t="str">
        <f aca="false">IF($A118="","",IFERROR(INDEX(R$5:R117,MATCH($A118,$A$5:$A117,0)),MAX(R$5:R117)+1))</f>
        <v/>
      </c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9" t="str">
        <f aca="false">IF(J119="","",IFERROR(INDEX('JSON del cliente'!$B$5:$B$288,MATCH(J119,'JSON del cliente'!$A$5:$A$288,0)),"no está en el JSON"))</f>
        <v/>
      </c>
      <c r="L119" s="8"/>
      <c r="M119" s="8"/>
      <c r="N119" s="8"/>
      <c r="O119" s="8"/>
      <c r="P119" s="8"/>
      <c r="Q119" s="7" t="n">
        <f aca="false">IF(AND($A119=$A118,$B119=$B118),Q118,Q118+1)</f>
        <v>14</v>
      </c>
      <c r="R119" s="0" t="str">
        <f aca="false">IF($A119="","",IFERROR(INDEX(R$5:R118,MATCH($A119,$A$5:$A118,0)),MAX(R$5:R118)+1))</f>
        <v/>
      </c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9" t="str">
        <f aca="false">IF(J120="","",IFERROR(INDEX('JSON del cliente'!$B$5:$B$288,MATCH(J120,'JSON del cliente'!$A$5:$A$288,0)),"no está en el JSON"))</f>
        <v/>
      </c>
      <c r="L120" s="8"/>
      <c r="M120" s="8"/>
      <c r="N120" s="8"/>
      <c r="O120" s="8"/>
      <c r="P120" s="8"/>
      <c r="Q120" s="7" t="n">
        <f aca="false">IF(AND($A120=$A119,$B120=$B119),Q119,Q119+1)</f>
        <v>14</v>
      </c>
      <c r="R120" s="0" t="str">
        <f aca="false">IF($A120="","",IFERROR(INDEX(R$5:R119,MATCH($A120,$A$5:$A119,0)),MAX(R$5:R119)+1))</f>
        <v/>
      </c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9" t="str">
        <f aca="false">IF(J121="","",IFERROR(INDEX('JSON del cliente'!$B$5:$B$288,MATCH(J121,'JSON del cliente'!$A$5:$A$288,0)),"no está en el JSON"))</f>
        <v/>
      </c>
      <c r="L121" s="8"/>
      <c r="M121" s="8"/>
      <c r="N121" s="8"/>
      <c r="O121" s="8"/>
      <c r="P121" s="8"/>
      <c r="Q121" s="7" t="n">
        <f aca="false">IF(AND($A121=$A120,$B121=$B120),Q120,Q120+1)</f>
        <v>14</v>
      </c>
      <c r="R121" s="0" t="str">
        <f aca="false">IF($A121="","",IFERROR(INDEX(R$5:R120,MATCH($A121,$A$5:$A120,0)),MAX(R$5:R120)+1))</f>
        <v/>
      </c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9" t="str">
        <f aca="false">IF(J122="","",IFERROR(INDEX('JSON del cliente'!$B$5:$B$288,MATCH(J122,'JSON del cliente'!$A$5:$A$288,0)),"no está en el JSON"))</f>
        <v/>
      </c>
      <c r="L122" s="8"/>
      <c r="M122" s="8"/>
      <c r="N122" s="8"/>
      <c r="O122" s="8"/>
      <c r="P122" s="8"/>
      <c r="Q122" s="7" t="n">
        <f aca="false">IF(AND($A122=$A121,$B122=$B121),Q121,Q121+1)</f>
        <v>14</v>
      </c>
      <c r="R122" s="0" t="str">
        <f aca="false">IF($A122="","",IFERROR(INDEX(R$5:R121,MATCH($A122,$A$5:$A121,0)),MAX(R$5:R121)+1))</f>
        <v/>
      </c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9" t="str">
        <f aca="false">IF(J123="","",IFERROR(INDEX('JSON del cliente'!$B$5:$B$288,MATCH(J123,'JSON del cliente'!$A$5:$A$288,0)),"no está en el JSON"))</f>
        <v/>
      </c>
      <c r="L123" s="8"/>
      <c r="M123" s="8"/>
      <c r="N123" s="8"/>
      <c r="O123" s="8"/>
      <c r="P123" s="8"/>
      <c r="Q123" s="7" t="n">
        <f aca="false">IF(AND($A123=$A122,$B123=$B122),Q122,Q122+1)</f>
        <v>14</v>
      </c>
      <c r="R123" s="0" t="str">
        <f aca="false">IF($A123="","",IFERROR(INDEX(R$5:R122,MATCH($A123,$A$5:$A122,0)),MAX(R$5:R122)+1))</f>
        <v/>
      </c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9" t="str">
        <f aca="false">IF(J124="","",IFERROR(INDEX('JSON del cliente'!$B$5:$B$288,MATCH(J124,'JSON del cliente'!$A$5:$A$288,0)),"no está en el JSON"))</f>
        <v/>
      </c>
      <c r="L124" s="8"/>
      <c r="M124" s="8"/>
      <c r="N124" s="8"/>
      <c r="O124" s="8"/>
      <c r="P124" s="8"/>
      <c r="Q124" s="7" t="n">
        <f aca="false">IF(AND($A124=$A123,$B124=$B123),Q123,Q123+1)</f>
        <v>14</v>
      </c>
      <c r="R124" s="0" t="str">
        <f aca="false">IF($A124="","",IFERROR(INDEX(R$5:R123,MATCH($A124,$A$5:$A123,0)),MAX(R$5:R123)+1))</f>
        <v/>
      </c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9" t="str">
        <f aca="false">IF(J125="","",IFERROR(INDEX('JSON del cliente'!$B$5:$B$288,MATCH(J125,'JSON del cliente'!$A$5:$A$288,0)),"no está en el JSON"))</f>
        <v/>
      </c>
      <c r="L125" s="8"/>
      <c r="M125" s="8"/>
      <c r="N125" s="8"/>
      <c r="O125" s="8"/>
      <c r="P125" s="8"/>
      <c r="Q125" s="7" t="n">
        <f aca="false">IF(AND($A125=$A124,$B125=$B124),Q124,Q124+1)</f>
        <v>14</v>
      </c>
      <c r="R125" s="0" t="str">
        <f aca="false">IF($A125="","",IFERROR(INDEX(R$5:R124,MATCH($A125,$A$5:$A124,0)),MAX(R$5:R124)+1))</f>
        <v/>
      </c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9" t="str">
        <f aca="false">IF(J126="","",IFERROR(INDEX('JSON del cliente'!$B$5:$B$288,MATCH(J126,'JSON del cliente'!$A$5:$A$288,0)),"no está en el JSON"))</f>
        <v/>
      </c>
      <c r="L126" s="8"/>
      <c r="M126" s="8"/>
      <c r="N126" s="8"/>
      <c r="O126" s="8"/>
      <c r="P126" s="8"/>
      <c r="Q126" s="7" t="n">
        <f aca="false">IF(AND($A126=$A125,$B126=$B125),Q125,Q125+1)</f>
        <v>14</v>
      </c>
      <c r="R126" s="0" t="str">
        <f aca="false">IF($A126="","",IFERROR(INDEX(R$5:R125,MATCH($A126,$A$5:$A125,0)),MAX(R$5:R125)+1))</f>
        <v/>
      </c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9" t="str">
        <f aca="false">IF(J127="","",IFERROR(INDEX('JSON del cliente'!$B$5:$B$288,MATCH(J127,'JSON del cliente'!$A$5:$A$288,0)),"no está en el JSON"))</f>
        <v/>
      </c>
      <c r="L127" s="8"/>
      <c r="M127" s="8"/>
      <c r="N127" s="8"/>
      <c r="O127" s="8"/>
      <c r="P127" s="8"/>
      <c r="Q127" s="7" t="n">
        <f aca="false">IF(AND($A127=$A126,$B127=$B126),Q126,Q126+1)</f>
        <v>14</v>
      </c>
      <c r="R127" s="0" t="str">
        <f aca="false">IF($A127="","",IFERROR(INDEX(R$5:R126,MATCH($A127,$A$5:$A126,0)),MAX(R$5:R126)+1))</f>
        <v/>
      </c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9" t="str">
        <f aca="false">IF(J128="","",IFERROR(INDEX('JSON del cliente'!$B$5:$B$288,MATCH(J128,'JSON del cliente'!$A$5:$A$288,0)),"no está en el JSON"))</f>
        <v/>
      </c>
      <c r="L128" s="8"/>
      <c r="M128" s="8"/>
      <c r="N128" s="8"/>
      <c r="O128" s="8"/>
      <c r="P128" s="8"/>
      <c r="Q128" s="7" t="n">
        <f aca="false">IF(AND($A128=$A127,$B128=$B127),Q127,Q127+1)</f>
        <v>14</v>
      </c>
      <c r="R128" s="0" t="str">
        <f aca="false">IF($A128="","",IFERROR(INDEX(R$5:R127,MATCH($A128,$A$5:$A127,0)),MAX(R$5:R127)+1))</f>
        <v/>
      </c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9" t="str">
        <f aca="false">IF(J129="","",IFERROR(INDEX('JSON del cliente'!$B$5:$B$288,MATCH(J129,'JSON del cliente'!$A$5:$A$288,0)),"no está en el JSON"))</f>
        <v/>
      </c>
      <c r="L129" s="8"/>
      <c r="M129" s="8"/>
      <c r="N129" s="8"/>
      <c r="O129" s="8"/>
      <c r="P129" s="8"/>
      <c r="Q129" s="7" t="n">
        <f aca="false">IF(AND($A129=$A128,$B129=$B128),Q128,Q128+1)</f>
        <v>14</v>
      </c>
      <c r="R129" s="0" t="str">
        <f aca="false">IF($A129="","",IFERROR(INDEX(R$5:R128,MATCH($A129,$A$5:$A128,0)),MAX(R$5:R128)+1))</f>
        <v/>
      </c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9" t="str">
        <f aca="false">IF(J130="","",IFERROR(INDEX('JSON del cliente'!$B$5:$B$288,MATCH(J130,'JSON del cliente'!$A$5:$A$288,0)),"no está en el JSON"))</f>
        <v/>
      </c>
      <c r="L130" s="8"/>
      <c r="M130" s="8"/>
      <c r="N130" s="8"/>
      <c r="O130" s="8"/>
      <c r="P130" s="8"/>
      <c r="Q130" s="7" t="n">
        <f aca="false">IF(AND($A130=$A129,$B130=$B129),Q129,Q129+1)</f>
        <v>14</v>
      </c>
      <c r="R130" s="0" t="str">
        <f aca="false">IF($A130="","",IFERROR(INDEX(R$5:R129,MATCH($A130,$A$5:$A129,0)),MAX(R$5:R129)+1))</f>
        <v/>
      </c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9" t="str">
        <f aca="false">IF(J131="","",IFERROR(INDEX('JSON del cliente'!$B$5:$B$288,MATCH(J131,'JSON del cliente'!$A$5:$A$288,0)),"no está en el JSON"))</f>
        <v/>
      </c>
      <c r="L131" s="8"/>
      <c r="M131" s="8"/>
      <c r="N131" s="8"/>
      <c r="O131" s="8"/>
      <c r="P131" s="8"/>
      <c r="Q131" s="7" t="n">
        <f aca="false">IF(AND($A131=$A130,$B131=$B130),Q130,Q130+1)</f>
        <v>14</v>
      </c>
      <c r="R131" s="0" t="str">
        <f aca="false">IF($A131="","",IFERROR(INDEX(R$5:R130,MATCH($A131,$A$5:$A130,0)),MAX(R$5:R130)+1))</f>
        <v/>
      </c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9" t="str">
        <f aca="false">IF(J132="","",IFERROR(INDEX('JSON del cliente'!$B$5:$B$288,MATCH(J132,'JSON del cliente'!$A$5:$A$288,0)),"no está en el JSON"))</f>
        <v/>
      </c>
      <c r="L132" s="8"/>
      <c r="M132" s="8"/>
      <c r="N132" s="8"/>
      <c r="O132" s="8"/>
      <c r="P132" s="8"/>
      <c r="Q132" s="7" t="n">
        <f aca="false">IF(AND($A132=$A131,$B132=$B131),Q131,Q131+1)</f>
        <v>14</v>
      </c>
      <c r="R132" s="0" t="str">
        <f aca="false">IF($A132="","",IFERROR(INDEX(R$5:R131,MATCH($A132,$A$5:$A131,0)),MAX(R$5:R131)+1))</f>
        <v/>
      </c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9" t="str">
        <f aca="false">IF(J133="","",IFERROR(INDEX('JSON del cliente'!$B$5:$B$288,MATCH(J133,'JSON del cliente'!$A$5:$A$288,0)),"no está en el JSON"))</f>
        <v/>
      </c>
      <c r="L133" s="8"/>
      <c r="M133" s="8"/>
      <c r="N133" s="8"/>
      <c r="O133" s="8"/>
      <c r="P133" s="8"/>
      <c r="Q133" s="7" t="n">
        <f aca="false">IF(AND($A133=$A132,$B133=$B132),Q132,Q132+1)</f>
        <v>14</v>
      </c>
      <c r="R133" s="0" t="str">
        <f aca="false">IF($A133="","",IFERROR(INDEX(R$5:R132,MATCH($A133,$A$5:$A132,0)),MAX(R$5:R132)+1))</f>
        <v/>
      </c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9" t="str">
        <f aca="false">IF(J134="","",IFERROR(INDEX('JSON del cliente'!$B$5:$B$288,MATCH(J134,'JSON del cliente'!$A$5:$A$288,0)),"no está en el JSON"))</f>
        <v/>
      </c>
      <c r="L134" s="8"/>
      <c r="M134" s="8"/>
      <c r="N134" s="8"/>
      <c r="O134" s="8"/>
      <c r="P134" s="8"/>
      <c r="Q134" s="7" t="n">
        <f aca="false">IF(AND($A134=$A133,$B134=$B133),Q133,Q133+1)</f>
        <v>14</v>
      </c>
      <c r="R134" s="0" t="str">
        <f aca="false">IF($A134="","",IFERROR(INDEX(R$5:R133,MATCH($A134,$A$5:$A133,0)),MAX(R$5:R133)+1))</f>
        <v/>
      </c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9" t="str">
        <f aca="false">IF(J135="","",IFERROR(INDEX('JSON del cliente'!$B$5:$B$288,MATCH(J135,'JSON del cliente'!$A$5:$A$288,0)),"no está en el JSON"))</f>
        <v/>
      </c>
      <c r="L135" s="8"/>
      <c r="M135" s="8"/>
      <c r="N135" s="8"/>
      <c r="O135" s="8"/>
      <c r="P135" s="8"/>
      <c r="Q135" s="7" t="n">
        <f aca="false">IF(AND($A135=$A134,$B135=$B134),Q134,Q134+1)</f>
        <v>14</v>
      </c>
      <c r="R135" s="0" t="str">
        <f aca="false">IF($A135="","",IFERROR(INDEX(R$5:R134,MATCH($A135,$A$5:$A134,0)),MAX(R$5:R134)+1))</f>
        <v/>
      </c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9" t="str">
        <f aca="false">IF(J136="","",IFERROR(INDEX('JSON del cliente'!$B$5:$B$288,MATCH(J136,'JSON del cliente'!$A$5:$A$288,0)),"no está en el JSON"))</f>
        <v/>
      </c>
      <c r="L136" s="8"/>
      <c r="M136" s="8"/>
      <c r="N136" s="8"/>
      <c r="O136" s="8"/>
      <c r="P136" s="8"/>
      <c r="Q136" s="7" t="n">
        <f aca="false">IF(AND($A136=$A135,$B136=$B135),Q135,Q135+1)</f>
        <v>14</v>
      </c>
      <c r="R136" s="0" t="str">
        <f aca="false">IF($A136="","",IFERROR(INDEX(R$5:R135,MATCH($A136,$A$5:$A135,0)),MAX(R$5:R135)+1))</f>
        <v/>
      </c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9" t="str">
        <f aca="false">IF(J137="","",IFERROR(INDEX('JSON del cliente'!$B$5:$B$288,MATCH(J137,'JSON del cliente'!$A$5:$A$288,0)),"no está en el JSON"))</f>
        <v/>
      </c>
      <c r="L137" s="8"/>
      <c r="M137" s="8"/>
      <c r="N137" s="8"/>
      <c r="O137" s="8"/>
      <c r="P137" s="8"/>
      <c r="Q137" s="7" t="n">
        <f aca="false">IF(AND($A137=$A136,$B137=$B136),Q136,Q136+1)</f>
        <v>14</v>
      </c>
      <c r="R137" s="0" t="str">
        <f aca="false">IF($A137="","",IFERROR(INDEX(R$5:R136,MATCH($A137,$A$5:$A136,0)),MAX(R$5:R136)+1))</f>
        <v/>
      </c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9" t="str">
        <f aca="false">IF(J138="","",IFERROR(INDEX('JSON del cliente'!$B$5:$B$288,MATCH(J138,'JSON del cliente'!$A$5:$A$288,0)),"no está en el JSON"))</f>
        <v/>
      </c>
      <c r="L138" s="8"/>
      <c r="M138" s="8"/>
      <c r="N138" s="8"/>
      <c r="O138" s="8"/>
      <c r="P138" s="8"/>
      <c r="Q138" s="7" t="n">
        <f aca="false">IF(AND($A138=$A137,$B138=$B137),Q137,Q137+1)</f>
        <v>14</v>
      </c>
      <c r="R138" s="0" t="str">
        <f aca="false">IF($A138="","",IFERROR(INDEX(R$5:R137,MATCH($A138,$A$5:$A137,0)),MAX(R$5:R137)+1))</f>
        <v/>
      </c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9" t="str">
        <f aca="false">IF(J139="","",IFERROR(INDEX('JSON del cliente'!$B$5:$B$288,MATCH(J139,'JSON del cliente'!$A$5:$A$288,0)),"no está en el JSON"))</f>
        <v/>
      </c>
      <c r="L139" s="8"/>
      <c r="M139" s="8"/>
      <c r="N139" s="8"/>
      <c r="O139" s="8"/>
      <c r="P139" s="8"/>
      <c r="Q139" s="7" t="n">
        <f aca="false">IF(AND($A139=$A138,$B139=$B138),Q138,Q138+1)</f>
        <v>14</v>
      </c>
      <c r="R139" s="0" t="str">
        <f aca="false">IF($A139="","",IFERROR(INDEX(R$5:R138,MATCH($A139,$A$5:$A138,0)),MAX(R$5:R138)+1))</f>
        <v/>
      </c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9" t="str">
        <f aca="false">IF(J140="","",IFERROR(INDEX('JSON del cliente'!$B$5:$B$288,MATCH(J140,'JSON del cliente'!$A$5:$A$288,0)),"no está en el JSON"))</f>
        <v/>
      </c>
      <c r="L140" s="8"/>
      <c r="M140" s="8"/>
      <c r="N140" s="8"/>
      <c r="O140" s="8"/>
      <c r="P140" s="8"/>
      <c r="Q140" s="7" t="n">
        <f aca="false">IF(AND($A140=$A139,$B140=$B139),Q139,Q139+1)</f>
        <v>14</v>
      </c>
      <c r="R140" s="0" t="str">
        <f aca="false">IF($A140="","",IFERROR(INDEX(R$5:R139,MATCH($A140,$A$5:$A139,0)),MAX(R$5:R139)+1))</f>
        <v/>
      </c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9" t="str">
        <f aca="false">IF(J141="","",IFERROR(INDEX('JSON del cliente'!$B$5:$B$288,MATCH(J141,'JSON del cliente'!$A$5:$A$288,0)),"no está en el JSON"))</f>
        <v/>
      </c>
      <c r="L141" s="8"/>
      <c r="M141" s="8"/>
      <c r="N141" s="8"/>
      <c r="O141" s="8"/>
      <c r="P141" s="8"/>
      <c r="Q141" s="7" t="n">
        <f aca="false">IF(AND($A141=$A140,$B141=$B140),Q140,Q140+1)</f>
        <v>14</v>
      </c>
      <c r="R141" s="0" t="str">
        <f aca="false">IF($A141="","",IFERROR(INDEX(R$5:R140,MATCH($A141,$A$5:$A140,0)),MAX(R$5:R140)+1))</f>
        <v/>
      </c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9" t="str">
        <f aca="false">IF(J142="","",IFERROR(INDEX('JSON del cliente'!$B$5:$B$288,MATCH(J142,'JSON del cliente'!$A$5:$A$288,0)),"no está en el JSON"))</f>
        <v/>
      </c>
      <c r="L142" s="8"/>
      <c r="M142" s="8"/>
      <c r="N142" s="8"/>
      <c r="O142" s="8"/>
      <c r="P142" s="8"/>
      <c r="Q142" s="7" t="n">
        <f aca="false">IF(AND($A142=$A141,$B142=$B141),Q141,Q141+1)</f>
        <v>14</v>
      </c>
      <c r="R142" s="0" t="str">
        <f aca="false">IF($A142="","",IFERROR(INDEX(R$5:R141,MATCH($A142,$A$5:$A141,0)),MAX(R$5:R141)+1))</f>
        <v/>
      </c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9" t="str">
        <f aca="false">IF(J143="","",IFERROR(INDEX('JSON del cliente'!$B$5:$B$288,MATCH(J143,'JSON del cliente'!$A$5:$A$288,0)),"no está en el JSON"))</f>
        <v/>
      </c>
      <c r="L143" s="8"/>
      <c r="M143" s="8"/>
      <c r="N143" s="8"/>
      <c r="O143" s="8"/>
      <c r="P143" s="8"/>
      <c r="Q143" s="7" t="n">
        <f aca="false">IF(AND($A143=$A142,$B143=$B142),Q142,Q142+1)</f>
        <v>14</v>
      </c>
      <c r="R143" s="0" t="str">
        <f aca="false">IF($A143="","",IFERROR(INDEX(R$5:R142,MATCH($A143,$A$5:$A142,0)),MAX(R$5:R142)+1))</f>
        <v/>
      </c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9" t="str">
        <f aca="false">IF(J144="","",IFERROR(INDEX('JSON del cliente'!$B$5:$B$288,MATCH(J144,'JSON del cliente'!$A$5:$A$288,0)),"no está en el JSON"))</f>
        <v/>
      </c>
      <c r="L144" s="8"/>
      <c r="M144" s="8"/>
      <c r="N144" s="8"/>
      <c r="O144" s="8"/>
      <c r="P144" s="8"/>
      <c r="Q144" s="7" t="n">
        <f aca="false">IF(AND($A144=$A143,$B144=$B143),Q143,Q143+1)</f>
        <v>14</v>
      </c>
      <c r="R144" s="0" t="str">
        <f aca="false">IF($A144="","",IFERROR(INDEX(R$5:R143,MATCH($A144,$A$5:$A143,0)),MAX(R$5:R143)+1))</f>
        <v/>
      </c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9" t="str">
        <f aca="false">IF(J145="","",IFERROR(INDEX('JSON del cliente'!$B$5:$B$288,MATCH(J145,'JSON del cliente'!$A$5:$A$288,0)),"no está en el JSON"))</f>
        <v/>
      </c>
      <c r="L145" s="8"/>
      <c r="M145" s="8"/>
      <c r="N145" s="8"/>
      <c r="O145" s="8"/>
      <c r="P145" s="8"/>
      <c r="Q145" s="7" t="n">
        <f aca="false">IF(AND($A145=$A144,$B145=$B144),Q144,Q144+1)</f>
        <v>14</v>
      </c>
      <c r="R145" s="0" t="str">
        <f aca="false">IF($A145="","",IFERROR(INDEX(R$5:R144,MATCH($A145,$A$5:$A144,0)),MAX(R$5:R144)+1))</f>
        <v/>
      </c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9" t="str">
        <f aca="false">IF(J146="","",IFERROR(INDEX('JSON del cliente'!$B$5:$B$288,MATCH(J146,'JSON del cliente'!$A$5:$A$288,0)),"no está en el JSON"))</f>
        <v/>
      </c>
      <c r="L146" s="8"/>
      <c r="M146" s="8"/>
      <c r="N146" s="8"/>
      <c r="O146" s="8"/>
      <c r="P146" s="8"/>
      <c r="Q146" s="7" t="n">
        <f aca="false">IF(AND($A146=$A145,$B146=$B145),Q145,Q145+1)</f>
        <v>14</v>
      </c>
      <c r="R146" s="0" t="str">
        <f aca="false">IF($A146="","",IFERROR(INDEX(R$5:R145,MATCH($A146,$A$5:$A145,0)),MAX(R$5:R145)+1))</f>
        <v/>
      </c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9" t="str">
        <f aca="false">IF(J147="","",IFERROR(INDEX('JSON del cliente'!$B$5:$B$288,MATCH(J147,'JSON del cliente'!$A$5:$A$288,0)),"no está en el JSON"))</f>
        <v/>
      </c>
      <c r="L147" s="8"/>
      <c r="M147" s="8"/>
      <c r="N147" s="8"/>
      <c r="O147" s="8"/>
      <c r="P147" s="8"/>
      <c r="Q147" s="7" t="n">
        <f aca="false">IF(AND($A147=$A146,$B147=$B146),Q146,Q146+1)</f>
        <v>14</v>
      </c>
      <c r="R147" s="0" t="str">
        <f aca="false">IF($A147="","",IFERROR(INDEX(R$5:R146,MATCH($A147,$A$5:$A146,0)),MAX(R$5:R146)+1))</f>
        <v/>
      </c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9" t="str">
        <f aca="false">IF(J148="","",IFERROR(INDEX('JSON del cliente'!$B$5:$B$288,MATCH(J148,'JSON del cliente'!$A$5:$A$288,0)),"no está en el JSON"))</f>
        <v/>
      </c>
      <c r="L148" s="8"/>
      <c r="M148" s="8"/>
      <c r="N148" s="8"/>
      <c r="O148" s="8"/>
      <c r="P148" s="8"/>
      <c r="Q148" s="7" t="n">
        <f aca="false">IF(AND($A148=$A147,$B148=$B147),Q147,Q147+1)</f>
        <v>14</v>
      </c>
      <c r="R148" s="0" t="str">
        <f aca="false">IF($A148="","",IFERROR(INDEX(R$5:R147,MATCH($A148,$A$5:$A147,0)),MAX(R$5:R147)+1))</f>
        <v/>
      </c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9" t="str">
        <f aca="false">IF(J149="","",IFERROR(INDEX('JSON del cliente'!$B$5:$B$288,MATCH(J149,'JSON del cliente'!$A$5:$A$288,0)),"no está en el JSON"))</f>
        <v/>
      </c>
      <c r="L149" s="8"/>
      <c r="M149" s="8"/>
      <c r="N149" s="8"/>
      <c r="O149" s="8"/>
      <c r="P149" s="8"/>
      <c r="Q149" s="7" t="n">
        <f aca="false">IF(AND($A149=$A148,$B149=$B148),Q148,Q148+1)</f>
        <v>14</v>
      </c>
      <c r="R149" s="0" t="str">
        <f aca="false">IF($A149="","",IFERROR(INDEX(R$5:R148,MATCH($A149,$A$5:$A148,0)),MAX(R$5:R148)+1))</f>
        <v/>
      </c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9" t="str">
        <f aca="false">IF(J150="","",IFERROR(INDEX('JSON del cliente'!$B$5:$B$288,MATCH(J150,'JSON del cliente'!$A$5:$A$288,0)),"no está en el JSON"))</f>
        <v/>
      </c>
      <c r="L150" s="8"/>
      <c r="M150" s="8"/>
      <c r="N150" s="8"/>
      <c r="O150" s="8"/>
      <c r="P150" s="8"/>
      <c r="Q150" s="7" t="n">
        <f aca="false">IF(AND($A150=$A149,$B150=$B149),Q149,Q149+1)</f>
        <v>14</v>
      </c>
      <c r="R150" s="0" t="str">
        <f aca="false">IF($A150="","",IFERROR(INDEX(R$5:R149,MATCH($A150,$A$5:$A149,0)),MAX(R$5:R149)+1))</f>
        <v/>
      </c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9" t="str">
        <f aca="false">IF(J151="","",IFERROR(INDEX('JSON del cliente'!$B$5:$B$288,MATCH(J151,'JSON del cliente'!$A$5:$A$288,0)),"no está en el JSON"))</f>
        <v/>
      </c>
      <c r="L151" s="8"/>
      <c r="M151" s="8"/>
      <c r="N151" s="8"/>
      <c r="O151" s="8"/>
      <c r="P151" s="8"/>
      <c r="Q151" s="7" t="n">
        <f aca="false">IF(AND($A151=$A150,$B151=$B150),Q150,Q150+1)</f>
        <v>14</v>
      </c>
      <c r="R151" s="0" t="str">
        <f aca="false">IF($A151="","",IFERROR(INDEX(R$5:R150,MATCH($A151,$A$5:$A150,0)),MAX(R$5:R150)+1))</f>
        <v/>
      </c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9" t="str">
        <f aca="false">IF(J152="","",IFERROR(INDEX('JSON del cliente'!$B$5:$B$288,MATCH(J152,'JSON del cliente'!$A$5:$A$288,0)),"no está en el JSON"))</f>
        <v/>
      </c>
      <c r="L152" s="8"/>
      <c r="M152" s="8"/>
      <c r="N152" s="8"/>
      <c r="O152" s="8"/>
      <c r="P152" s="8"/>
      <c r="Q152" s="7" t="n">
        <f aca="false">IF(AND($A152=$A151,$B152=$B151),Q151,Q151+1)</f>
        <v>14</v>
      </c>
      <c r="R152" s="0" t="str">
        <f aca="false">IF($A152="","",IFERROR(INDEX(R$5:R151,MATCH($A152,$A$5:$A151,0)),MAX(R$5:R151)+1))</f>
        <v/>
      </c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9" t="str">
        <f aca="false">IF(J153="","",IFERROR(INDEX('JSON del cliente'!$B$5:$B$288,MATCH(J153,'JSON del cliente'!$A$5:$A$288,0)),"no está en el JSON"))</f>
        <v/>
      </c>
      <c r="L153" s="8"/>
      <c r="M153" s="8"/>
      <c r="N153" s="8"/>
      <c r="O153" s="8"/>
      <c r="P153" s="8"/>
      <c r="Q153" s="7" t="n">
        <f aca="false">IF(AND($A153=$A152,$B153=$B152),Q152,Q152+1)</f>
        <v>14</v>
      </c>
      <c r="R153" s="0" t="str">
        <f aca="false">IF($A153="","",IFERROR(INDEX(R$5:R152,MATCH($A153,$A$5:$A152,0)),MAX(R$5:R152)+1))</f>
        <v/>
      </c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9" t="str">
        <f aca="false">IF(J154="","",IFERROR(INDEX('JSON del cliente'!$B$5:$B$288,MATCH(J154,'JSON del cliente'!$A$5:$A$288,0)),"no está en el JSON"))</f>
        <v/>
      </c>
      <c r="L154" s="8"/>
      <c r="M154" s="8"/>
      <c r="N154" s="8"/>
      <c r="O154" s="8"/>
      <c r="P154" s="8"/>
      <c r="Q154" s="7" t="n">
        <f aca="false">IF(AND($A154=$A153,$B154=$B153),Q153,Q153+1)</f>
        <v>14</v>
      </c>
      <c r="R154" s="0" t="str">
        <f aca="false">IF($A154="","",IFERROR(INDEX(R$5:R153,MATCH($A154,$A$5:$A153,0)),MAX(R$5:R153)+1))</f>
        <v/>
      </c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9" t="str">
        <f aca="false">IF(J155="","",IFERROR(INDEX('JSON del cliente'!$B$5:$B$288,MATCH(J155,'JSON del cliente'!$A$5:$A$288,0)),"no está en el JSON"))</f>
        <v/>
      </c>
      <c r="L155" s="8"/>
      <c r="M155" s="8"/>
      <c r="N155" s="8"/>
      <c r="O155" s="8"/>
      <c r="P155" s="8"/>
      <c r="Q155" s="7" t="n">
        <f aca="false">IF(AND($A155=$A154,$B155=$B154),Q154,Q154+1)</f>
        <v>14</v>
      </c>
      <c r="R155" s="0" t="str">
        <f aca="false">IF($A155="","",IFERROR(INDEX(R$5:R154,MATCH($A155,$A$5:$A154,0)),MAX(R$5:R154)+1))</f>
        <v/>
      </c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9" t="str">
        <f aca="false">IF(J156="","",IFERROR(INDEX('JSON del cliente'!$B$5:$B$288,MATCH(J156,'JSON del cliente'!$A$5:$A$288,0)),"no está en el JSON"))</f>
        <v/>
      </c>
      <c r="L156" s="8"/>
      <c r="M156" s="8"/>
      <c r="N156" s="8"/>
      <c r="O156" s="8"/>
      <c r="P156" s="8"/>
      <c r="Q156" s="7" t="n">
        <f aca="false">IF(AND($A156=$A155,$B156=$B155),Q155,Q155+1)</f>
        <v>14</v>
      </c>
      <c r="R156" s="0" t="str">
        <f aca="false">IF($A156="","",IFERROR(INDEX(R$5:R155,MATCH($A156,$A$5:$A155,0)),MAX(R$5:R155)+1))</f>
        <v/>
      </c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9" t="str">
        <f aca="false">IF(J157="","",IFERROR(INDEX('JSON del cliente'!$B$5:$B$288,MATCH(J157,'JSON del cliente'!$A$5:$A$288,0)),"no está en el JSON"))</f>
        <v/>
      </c>
      <c r="L157" s="8"/>
      <c r="M157" s="8"/>
      <c r="N157" s="8"/>
      <c r="O157" s="8"/>
      <c r="P157" s="8"/>
      <c r="Q157" s="7" t="n">
        <f aca="false">IF(AND($A157=$A156,$B157=$B156),Q156,Q156+1)</f>
        <v>14</v>
      </c>
      <c r="R157" s="0" t="str">
        <f aca="false">IF($A157="","",IFERROR(INDEX(R$5:R156,MATCH($A157,$A$5:$A156,0)),MAX(R$5:R156)+1))</f>
        <v/>
      </c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9" t="str">
        <f aca="false">IF(J158="","",IFERROR(INDEX('JSON del cliente'!$B$5:$B$288,MATCH(J158,'JSON del cliente'!$A$5:$A$288,0)),"no está en el JSON"))</f>
        <v/>
      </c>
      <c r="L158" s="8"/>
      <c r="M158" s="8"/>
      <c r="N158" s="8"/>
      <c r="O158" s="8"/>
      <c r="P158" s="8"/>
      <c r="Q158" s="7" t="n">
        <f aca="false">IF(AND($A158=$A157,$B158=$B157),Q157,Q157+1)</f>
        <v>14</v>
      </c>
      <c r="R158" s="0" t="str">
        <f aca="false">IF($A158="","",IFERROR(INDEX(R$5:R157,MATCH($A158,$A$5:$A157,0)),MAX(R$5:R157)+1))</f>
        <v/>
      </c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9" t="str">
        <f aca="false">IF(J159="","",IFERROR(INDEX('JSON del cliente'!$B$5:$B$288,MATCH(J159,'JSON del cliente'!$A$5:$A$288,0)),"no está en el JSON"))</f>
        <v/>
      </c>
      <c r="L159" s="8"/>
      <c r="M159" s="8"/>
      <c r="N159" s="8"/>
      <c r="O159" s="8"/>
      <c r="P159" s="8"/>
      <c r="Q159" s="7" t="n">
        <f aca="false">IF(AND($A159=$A158,$B159=$B158),Q158,Q158+1)</f>
        <v>14</v>
      </c>
      <c r="R159" s="0" t="str">
        <f aca="false">IF($A159="","",IFERROR(INDEX(R$5:R158,MATCH($A159,$A$5:$A158,0)),MAX(R$5:R158)+1))</f>
        <v/>
      </c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9" t="str">
        <f aca="false">IF(J160="","",IFERROR(INDEX('JSON del cliente'!$B$5:$B$288,MATCH(J160,'JSON del cliente'!$A$5:$A$288,0)),"no está en el JSON"))</f>
        <v/>
      </c>
      <c r="L160" s="8"/>
      <c r="M160" s="8"/>
      <c r="N160" s="8"/>
      <c r="O160" s="8"/>
      <c r="P160" s="8"/>
      <c r="Q160" s="7" t="n">
        <f aca="false">IF(AND($A160=$A159,$B160=$B159),Q159,Q159+1)</f>
        <v>14</v>
      </c>
      <c r="R160" s="0" t="str">
        <f aca="false">IF($A160="","",IFERROR(INDEX(R$5:R159,MATCH($A160,$A$5:$A159,0)),MAX(R$5:R159)+1))</f>
        <v/>
      </c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9" t="str">
        <f aca="false">IF(J161="","",IFERROR(INDEX('JSON del cliente'!$B$5:$B$288,MATCH(J161,'JSON del cliente'!$A$5:$A$288,0)),"no está en el JSON"))</f>
        <v/>
      </c>
      <c r="L161" s="8"/>
      <c r="M161" s="8"/>
      <c r="N161" s="8"/>
      <c r="O161" s="8"/>
      <c r="P161" s="8"/>
      <c r="Q161" s="7" t="n">
        <f aca="false">IF(AND($A161=$A160,$B161=$B160),Q160,Q160+1)</f>
        <v>14</v>
      </c>
      <c r="R161" s="0" t="str">
        <f aca="false">IF($A161="","",IFERROR(INDEX(R$5:R160,MATCH($A161,$A$5:$A160,0)),MAX(R$5:R160)+1))</f>
        <v/>
      </c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9" t="str">
        <f aca="false">IF(J162="","",IFERROR(INDEX('JSON del cliente'!$B$5:$B$288,MATCH(J162,'JSON del cliente'!$A$5:$A$288,0)),"no está en el JSON"))</f>
        <v/>
      </c>
      <c r="L162" s="8"/>
      <c r="M162" s="8"/>
      <c r="N162" s="8"/>
      <c r="O162" s="8"/>
      <c r="P162" s="8"/>
      <c r="Q162" s="7" t="n">
        <f aca="false">IF(AND($A162=$A161,$B162=$B161),Q161,Q161+1)</f>
        <v>14</v>
      </c>
      <c r="R162" s="0" t="str">
        <f aca="false">IF($A162="","",IFERROR(INDEX(R$5:R161,MATCH($A162,$A$5:$A161,0)),MAX(R$5:R161)+1))</f>
        <v/>
      </c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9" t="str">
        <f aca="false">IF(J163="","",IFERROR(INDEX('JSON del cliente'!$B$5:$B$288,MATCH(J163,'JSON del cliente'!$A$5:$A$288,0)),"no está en el JSON"))</f>
        <v/>
      </c>
      <c r="L163" s="8"/>
      <c r="M163" s="8"/>
      <c r="N163" s="8"/>
      <c r="O163" s="8"/>
      <c r="P163" s="8"/>
      <c r="Q163" s="7" t="n">
        <f aca="false">IF(AND($A163=$A162,$B163=$B162),Q162,Q162+1)</f>
        <v>14</v>
      </c>
      <c r="R163" s="0" t="str">
        <f aca="false">IF($A163="","",IFERROR(INDEX(R$5:R162,MATCH($A163,$A$5:$A162,0)),MAX(R$5:R162)+1))</f>
        <v/>
      </c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9" t="str">
        <f aca="false">IF(J164="","",IFERROR(INDEX('JSON del cliente'!$B$5:$B$288,MATCH(J164,'JSON del cliente'!$A$5:$A$288,0)),"no está en el JSON"))</f>
        <v/>
      </c>
      <c r="L164" s="8"/>
      <c r="M164" s="8"/>
      <c r="N164" s="8"/>
      <c r="O164" s="8"/>
      <c r="P164" s="8"/>
      <c r="Q164" s="7" t="n">
        <f aca="false">IF(AND($A164=$A163,$B164=$B163),Q163,Q163+1)</f>
        <v>14</v>
      </c>
      <c r="R164" s="0" t="str">
        <f aca="false">IF($A164="","",IFERROR(INDEX(R$5:R163,MATCH($A164,$A$5:$A163,0)),MAX(R$5:R163)+1))</f>
        <v/>
      </c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9" t="str">
        <f aca="false">IF(J165="","",IFERROR(INDEX('JSON del cliente'!$B$5:$B$288,MATCH(J165,'JSON del cliente'!$A$5:$A$288,0)),"no está en el JSON"))</f>
        <v/>
      </c>
      <c r="L165" s="8"/>
      <c r="M165" s="8"/>
      <c r="N165" s="8"/>
      <c r="O165" s="8"/>
      <c r="P165" s="8"/>
      <c r="Q165" s="7" t="n">
        <f aca="false">IF(AND($A165=$A164,$B165=$B164),Q164,Q164+1)</f>
        <v>14</v>
      </c>
      <c r="R165" s="0" t="str">
        <f aca="false">IF($A165="","",IFERROR(INDEX(R$5:R164,MATCH($A165,$A$5:$A164,0)),MAX(R$5:R164)+1))</f>
        <v/>
      </c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9" t="str">
        <f aca="false">IF(J166="","",IFERROR(INDEX('JSON del cliente'!$B$5:$B$288,MATCH(J166,'JSON del cliente'!$A$5:$A$288,0)),"no está en el JSON"))</f>
        <v/>
      </c>
      <c r="L166" s="8"/>
      <c r="M166" s="8"/>
      <c r="N166" s="8"/>
      <c r="O166" s="8"/>
      <c r="P166" s="8"/>
      <c r="Q166" s="7" t="n">
        <f aca="false">IF(AND($A166=$A165,$B166=$B165),Q165,Q165+1)</f>
        <v>14</v>
      </c>
      <c r="R166" s="0" t="str">
        <f aca="false">IF($A166="","",IFERROR(INDEX(R$5:R165,MATCH($A166,$A$5:$A165,0)),MAX(R$5:R165)+1))</f>
        <v/>
      </c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9" t="str">
        <f aca="false">IF(J167="","",IFERROR(INDEX('JSON del cliente'!$B$5:$B$288,MATCH(J167,'JSON del cliente'!$A$5:$A$288,0)),"no está en el JSON"))</f>
        <v/>
      </c>
      <c r="L167" s="8"/>
      <c r="M167" s="8"/>
      <c r="N167" s="8"/>
      <c r="O167" s="8"/>
      <c r="P167" s="8"/>
      <c r="Q167" s="7" t="n">
        <f aca="false">IF(AND($A167=$A166,$B167=$B166),Q166,Q166+1)</f>
        <v>14</v>
      </c>
      <c r="R167" s="0" t="str">
        <f aca="false">IF($A167="","",IFERROR(INDEX(R$5:R166,MATCH($A167,$A$5:$A166,0)),MAX(R$5:R166)+1))</f>
        <v/>
      </c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9" t="str">
        <f aca="false">IF(J168="","",IFERROR(INDEX('JSON del cliente'!$B$5:$B$288,MATCH(J168,'JSON del cliente'!$A$5:$A$288,0)),"no está en el JSON"))</f>
        <v/>
      </c>
      <c r="L168" s="8"/>
      <c r="M168" s="8"/>
      <c r="N168" s="8"/>
      <c r="O168" s="8"/>
      <c r="P168" s="8"/>
      <c r="Q168" s="7" t="n">
        <f aca="false">IF(AND($A168=$A167,$B168=$B167),Q167,Q167+1)</f>
        <v>14</v>
      </c>
      <c r="R168" s="0" t="str">
        <f aca="false">IF($A168="","",IFERROR(INDEX(R$5:R167,MATCH($A168,$A$5:$A167,0)),MAX(R$5:R167)+1))</f>
        <v/>
      </c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9" t="str">
        <f aca="false">IF(J169="","",IFERROR(INDEX('JSON del cliente'!$B$5:$B$288,MATCH(J169,'JSON del cliente'!$A$5:$A$288,0)),"no está en el JSON"))</f>
        <v/>
      </c>
      <c r="L169" s="8"/>
      <c r="M169" s="8"/>
      <c r="N169" s="8"/>
      <c r="O169" s="8"/>
      <c r="P169" s="8"/>
      <c r="Q169" s="7" t="n">
        <f aca="false">IF(AND($A169=$A168,$B169=$B168),Q168,Q168+1)</f>
        <v>14</v>
      </c>
      <c r="R169" s="0" t="str">
        <f aca="false">IF($A169="","",IFERROR(INDEX(R$5:R168,MATCH($A169,$A$5:$A168,0)),MAX(R$5:R168)+1))</f>
        <v/>
      </c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9" t="str">
        <f aca="false">IF(J170="","",IFERROR(INDEX('JSON del cliente'!$B$5:$B$288,MATCH(J170,'JSON del cliente'!$A$5:$A$288,0)),"no está en el JSON"))</f>
        <v/>
      </c>
      <c r="L170" s="8"/>
      <c r="M170" s="8"/>
      <c r="N170" s="8"/>
      <c r="O170" s="8"/>
      <c r="P170" s="8"/>
      <c r="Q170" s="7" t="n">
        <f aca="false">IF(AND($A170=$A169,$B170=$B169),Q169,Q169+1)</f>
        <v>14</v>
      </c>
      <c r="R170" s="0" t="str">
        <f aca="false">IF($A170="","",IFERROR(INDEX(R$5:R169,MATCH($A170,$A$5:$A169,0)),MAX(R$5:R169)+1))</f>
        <v/>
      </c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9" t="str">
        <f aca="false">IF(J171="","",IFERROR(INDEX('JSON del cliente'!$B$5:$B$288,MATCH(J171,'JSON del cliente'!$A$5:$A$288,0)),"no está en el JSON"))</f>
        <v/>
      </c>
      <c r="L171" s="8"/>
      <c r="M171" s="8"/>
      <c r="N171" s="8"/>
      <c r="O171" s="8"/>
      <c r="P171" s="8"/>
      <c r="Q171" s="7" t="n">
        <f aca="false">IF(AND($A171=$A170,$B171=$B170),Q170,Q170+1)</f>
        <v>14</v>
      </c>
      <c r="R171" s="0" t="str">
        <f aca="false">IF($A171="","",IFERROR(INDEX(R$5:R170,MATCH($A171,$A$5:$A170,0)),MAX(R$5:R170)+1))</f>
        <v/>
      </c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9" t="str">
        <f aca="false">IF(J172="","",IFERROR(INDEX('JSON del cliente'!$B$5:$B$288,MATCH(J172,'JSON del cliente'!$A$5:$A$288,0)),"no está en el JSON"))</f>
        <v/>
      </c>
      <c r="L172" s="8"/>
      <c r="M172" s="8"/>
      <c r="N172" s="8"/>
      <c r="O172" s="8"/>
      <c r="P172" s="8"/>
      <c r="Q172" s="7" t="n">
        <f aca="false">IF(AND($A172=$A171,$B172=$B171),Q171,Q171+1)</f>
        <v>14</v>
      </c>
      <c r="R172" s="0" t="str">
        <f aca="false">IF($A172="","",IFERROR(INDEX(R$5:R171,MATCH($A172,$A$5:$A171,0)),MAX(R$5:R171)+1))</f>
        <v/>
      </c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9" t="str">
        <f aca="false">IF(J173="","",IFERROR(INDEX('JSON del cliente'!$B$5:$B$288,MATCH(J173,'JSON del cliente'!$A$5:$A$288,0)),"no está en el JSON"))</f>
        <v/>
      </c>
      <c r="L173" s="8"/>
      <c r="M173" s="8"/>
      <c r="N173" s="8"/>
      <c r="O173" s="8"/>
      <c r="P173" s="8"/>
      <c r="Q173" s="7" t="n">
        <f aca="false">IF(AND($A173=$A172,$B173=$B172),Q172,Q172+1)</f>
        <v>14</v>
      </c>
      <c r="R173" s="0" t="str">
        <f aca="false">IF($A173="","",IFERROR(INDEX(R$5:R172,MATCH($A173,$A$5:$A172,0)),MAX(R$5:R172)+1))</f>
        <v/>
      </c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9" t="str">
        <f aca="false">IF(J174="","",IFERROR(INDEX('JSON del cliente'!$B$5:$B$288,MATCH(J174,'JSON del cliente'!$A$5:$A$288,0)),"no está en el JSON"))</f>
        <v/>
      </c>
      <c r="L174" s="8"/>
      <c r="M174" s="8"/>
      <c r="N174" s="8"/>
      <c r="O174" s="8"/>
      <c r="P174" s="8"/>
      <c r="Q174" s="7" t="n">
        <f aca="false">IF(AND($A174=$A173,$B174=$B173),Q173,Q173+1)</f>
        <v>14</v>
      </c>
      <c r="R174" s="0" t="str">
        <f aca="false">IF($A174="","",IFERROR(INDEX(R$5:R173,MATCH($A174,$A$5:$A173,0)),MAX(R$5:R173)+1))</f>
        <v/>
      </c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9" t="str">
        <f aca="false">IF(J175="","",IFERROR(INDEX('JSON del cliente'!$B$5:$B$288,MATCH(J175,'JSON del cliente'!$A$5:$A$288,0)),"no está en el JSON"))</f>
        <v/>
      </c>
      <c r="L175" s="8"/>
      <c r="M175" s="8"/>
      <c r="N175" s="8"/>
      <c r="O175" s="8"/>
      <c r="P175" s="8"/>
      <c r="Q175" s="7" t="n">
        <f aca="false">IF(AND($A175=$A174,$B175=$B174),Q174,Q174+1)</f>
        <v>14</v>
      </c>
      <c r="R175" s="0" t="str">
        <f aca="false">IF($A175="","",IFERROR(INDEX(R$5:R174,MATCH($A175,$A$5:$A174,0)),MAX(R$5:R174)+1))</f>
        <v/>
      </c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9" t="str">
        <f aca="false">IF(J176="","",IFERROR(INDEX('JSON del cliente'!$B$5:$B$288,MATCH(J176,'JSON del cliente'!$A$5:$A$288,0)),"no está en el JSON"))</f>
        <v/>
      </c>
      <c r="L176" s="8"/>
      <c r="M176" s="8"/>
      <c r="N176" s="8"/>
      <c r="O176" s="8"/>
      <c r="P176" s="8"/>
      <c r="Q176" s="7" t="n">
        <f aca="false">IF(AND($A176=$A175,$B176=$B175),Q175,Q175+1)</f>
        <v>14</v>
      </c>
      <c r="R176" s="0" t="str">
        <f aca="false">IF($A176="","",IFERROR(INDEX(R$5:R175,MATCH($A176,$A$5:$A175,0)),MAX(R$5:R175)+1))</f>
        <v/>
      </c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9" t="str">
        <f aca="false">IF(J177="","",IFERROR(INDEX('JSON del cliente'!$B$5:$B$288,MATCH(J177,'JSON del cliente'!$A$5:$A$288,0)),"no está en el JSON"))</f>
        <v/>
      </c>
      <c r="L177" s="8"/>
      <c r="M177" s="8"/>
      <c r="N177" s="8"/>
      <c r="O177" s="8"/>
      <c r="P177" s="8"/>
      <c r="Q177" s="7" t="n">
        <f aca="false">IF(AND($A177=$A176,$B177=$B176),Q176,Q176+1)</f>
        <v>14</v>
      </c>
      <c r="R177" s="0" t="str">
        <f aca="false">IF($A177="","",IFERROR(INDEX(R$5:R176,MATCH($A177,$A$5:$A176,0)),MAX(R$5:R176)+1))</f>
        <v/>
      </c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9" t="str">
        <f aca="false">IF(J178="","",IFERROR(INDEX('JSON del cliente'!$B$5:$B$288,MATCH(J178,'JSON del cliente'!$A$5:$A$288,0)),"no está en el JSON"))</f>
        <v/>
      </c>
      <c r="L178" s="8"/>
      <c r="M178" s="8"/>
      <c r="N178" s="8"/>
      <c r="O178" s="8"/>
      <c r="P178" s="8"/>
      <c r="Q178" s="7" t="n">
        <f aca="false">IF(AND($A178=$A177,$B178=$B177),Q177,Q177+1)</f>
        <v>14</v>
      </c>
      <c r="R178" s="0" t="str">
        <f aca="false">IF($A178="","",IFERROR(INDEX(R$5:R177,MATCH($A178,$A$5:$A177,0)),MAX(R$5:R177)+1))</f>
        <v/>
      </c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9" t="str">
        <f aca="false">IF(J179="","",IFERROR(INDEX('JSON del cliente'!$B$5:$B$288,MATCH(J179,'JSON del cliente'!$A$5:$A$288,0)),"no está en el JSON"))</f>
        <v/>
      </c>
      <c r="L179" s="8"/>
      <c r="M179" s="8"/>
      <c r="N179" s="8"/>
      <c r="O179" s="8"/>
      <c r="P179" s="8"/>
      <c r="Q179" s="7" t="n">
        <f aca="false">IF(AND($A179=$A178,$B179=$B178),Q178,Q178+1)</f>
        <v>14</v>
      </c>
      <c r="R179" s="0" t="str">
        <f aca="false">IF($A179="","",IFERROR(INDEX(R$5:R178,MATCH($A179,$A$5:$A178,0)),MAX(R$5:R178)+1))</f>
        <v/>
      </c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9" t="str">
        <f aca="false">IF(J180="","",IFERROR(INDEX('JSON del cliente'!$B$5:$B$288,MATCH(J180,'JSON del cliente'!$A$5:$A$288,0)),"no está en el JSON"))</f>
        <v/>
      </c>
      <c r="L180" s="8"/>
      <c r="M180" s="8"/>
      <c r="N180" s="8"/>
      <c r="O180" s="8"/>
      <c r="P180" s="8"/>
      <c r="Q180" s="7" t="n">
        <f aca="false">IF(AND($A180=$A179,$B180=$B179),Q179,Q179+1)</f>
        <v>14</v>
      </c>
      <c r="R180" s="0" t="str">
        <f aca="false">IF($A180="","",IFERROR(INDEX(R$5:R179,MATCH($A180,$A$5:$A179,0)),MAX(R$5:R179)+1))</f>
        <v/>
      </c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9" t="str">
        <f aca="false">IF(J181="","",IFERROR(INDEX('JSON del cliente'!$B$5:$B$288,MATCH(J181,'JSON del cliente'!$A$5:$A$288,0)),"no está en el JSON"))</f>
        <v/>
      </c>
      <c r="L181" s="8"/>
      <c r="M181" s="8"/>
      <c r="N181" s="8"/>
      <c r="O181" s="8"/>
      <c r="P181" s="8"/>
      <c r="Q181" s="7" t="n">
        <f aca="false">IF(AND($A181=$A180,$B181=$B180),Q180,Q180+1)</f>
        <v>14</v>
      </c>
      <c r="R181" s="0" t="str">
        <f aca="false">IF($A181="","",IFERROR(INDEX(R$5:R180,MATCH($A181,$A$5:$A180,0)),MAX(R$5:R180)+1))</f>
        <v/>
      </c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9" t="str">
        <f aca="false">IF(J182="","",IFERROR(INDEX('JSON del cliente'!$B$5:$B$288,MATCH(J182,'JSON del cliente'!$A$5:$A$288,0)),"no está en el JSON"))</f>
        <v/>
      </c>
      <c r="L182" s="8"/>
      <c r="M182" s="8"/>
      <c r="N182" s="8"/>
      <c r="O182" s="8"/>
      <c r="P182" s="8"/>
      <c r="Q182" s="7" t="n">
        <f aca="false">IF(AND($A182=$A181,$B182=$B181),Q181,Q181+1)</f>
        <v>14</v>
      </c>
      <c r="R182" s="0" t="str">
        <f aca="false">IF($A182="","",IFERROR(INDEX(R$5:R181,MATCH($A182,$A$5:$A181,0)),MAX(R$5:R181)+1))</f>
        <v/>
      </c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9" t="str">
        <f aca="false">IF(J183="","",IFERROR(INDEX('JSON del cliente'!$B$5:$B$288,MATCH(J183,'JSON del cliente'!$A$5:$A$288,0)),"no está en el JSON"))</f>
        <v/>
      </c>
      <c r="L183" s="8"/>
      <c r="M183" s="8"/>
      <c r="N183" s="8"/>
      <c r="O183" s="8"/>
      <c r="P183" s="8"/>
      <c r="Q183" s="7" t="n">
        <f aca="false">IF(AND($A183=$A182,$B183=$B182),Q182,Q182+1)</f>
        <v>14</v>
      </c>
      <c r="R183" s="0" t="str">
        <f aca="false">IF($A183="","",IFERROR(INDEX(R$5:R182,MATCH($A183,$A$5:$A182,0)),MAX(R$5:R182)+1))</f>
        <v/>
      </c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9" t="str">
        <f aca="false">IF(J184="","",IFERROR(INDEX('JSON del cliente'!$B$5:$B$288,MATCH(J184,'JSON del cliente'!$A$5:$A$288,0)),"no está en el JSON"))</f>
        <v/>
      </c>
      <c r="L184" s="8"/>
      <c r="M184" s="8"/>
      <c r="N184" s="8"/>
      <c r="O184" s="8"/>
      <c r="P184" s="8"/>
      <c r="Q184" s="7" t="n">
        <f aca="false">IF(AND($A184=$A183,$B184=$B183),Q183,Q183+1)</f>
        <v>14</v>
      </c>
      <c r="R184" s="0" t="str">
        <f aca="false">IF($A184="","",IFERROR(INDEX(R$5:R183,MATCH($A184,$A$5:$A183,0)),MAX(R$5:R183)+1))</f>
        <v/>
      </c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9" t="str">
        <f aca="false">IF(J185="","",IFERROR(INDEX('JSON del cliente'!$B$5:$B$288,MATCH(J185,'JSON del cliente'!$A$5:$A$288,0)),"no está en el JSON"))</f>
        <v/>
      </c>
      <c r="L185" s="8"/>
      <c r="M185" s="8"/>
      <c r="N185" s="8"/>
      <c r="O185" s="8"/>
      <c r="P185" s="8"/>
      <c r="Q185" s="7" t="n">
        <f aca="false">IF(AND($A185=$A184,$B185=$B184),Q184,Q184+1)</f>
        <v>14</v>
      </c>
      <c r="R185" s="0" t="str">
        <f aca="false">IF($A185="","",IFERROR(INDEX(R$5:R184,MATCH($A185,$A$5:$A184,0)),MAX(R$5:R184)+1))</f>
        <v/>
      </c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9" t="str">
        <f aca="false">IF(J186="","",IFERROR(INDEX('JSON del cliente'!$B$5:$B$288,MATCH(J186,'JSON del cliente'!$A$5:$A$288,0)),"no está en el JSON"))</f>
        <v/>
      </c>
      <c r="L186" s="8"/>
      <c r="M186" s="8"/>
      <c r="N186" s="8"/>
      <c r="O186" s="8"/>
      <c r="P186" s="8"/>
      <c r="Q186" s="7" t="n">
        <f aca="false">IF(AND($A186=$A185,$B186=$B185),Q185,Q185+1)</f>
        <v>14</v>
      </c>
      <c r="R186" s="0" t="str">
        <f aca="false">IF($A186="","",IFERROR(INDEX(R$5:R185,MATCH($A186,$A$5:$A185,0)),MAX(R$5:R185)+1))</f>
        <v/>
      </c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9" t="str">
        <f aca="false">IF(J187="","",IFERROR(INDEX('JSON del cliente'!$B$5:$B$288,MATCH(J187,'JSON del cliente'!$A$5:$A$288,0)),"no está en el JSON"))</f>
        <v/>
      </c>
      <c r="L187" s="8"/>
      <c r="M187" s="8"/>
      <c r="N187" s="8"/>
      <c r="O187" s="8"/>
      <c r="P187" s="8"/>
      <c r="Q187" s="7" t="n">
        <f aca="false">IF(AND($A187=$A186,$B187=$B186),Q186,Q186+1)</f>
        <v>14</v>
      </c>
      <c r="R187" s="0" t="str">
        <f aca="false">IF($A187="","",IFERROR(INDEX(R$5:R186,MATCH($A187,$A$5:$A186,0)),MAX(R$5:R186)+1))</f>
        <v/>
      </c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9" t="str">
        <f aca="false">IF(J188="","",IFERROR(INDEX('JSON del cliente'!$B$5:$B$288,MATCH(J188,'JSON del cliente'!$A$5:$A$288,0)),"no está en el JSON"))</f>
        <v/>
      </c>
      <c r="L188" s="8"/>
      <c r="M188" s="8"/>
      <c r="N188" s="8"/>
      <c r="O188" s="8"/>
      <c r="P188" s="8"/>
      <c r="Q188" s="7" t="n">
        <f aca="false">IF(AND($A188=$A187,$B188=$B187),Q187,Q187+1)</f>
        <v>14</v>
      </c>
      <c r="R188" s="0" t="str">
        <f aca="false">IF($A188="","",IFERROR(INDEX(R$5:R187,MATCH($A188,$A$5:$A187,0)),MAX(R$5:R187)+1))</f>
        <v/>
      </c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9" t="str">
        <f aca="false">IF(J189="","",IFERROR(INDEX('JSON del cliente'!$B$5:$B$288,MATCH(J189,'JSON del cliente'!$A$5:$A$288,0)),"no está en el JSON"))</f>
        <v/>
      </c>
      <c r="L189" s="8"/>
      <c r="M189" s="8"/>
      <c r="N189" s="8"/>
      <c r="O189" s="8"/>
      <c r="P189" s="8"/>
      <c r="Q189" s="7" t="n">
        <f aca="false">IF(AND($A189=$A188,$B189=$B188),Q188,Q188+1)</f>
        <v>14</v>
      </c>
      <c r="R189" s="0" t="str">
        <f aca="false">IF($A189="","",IFERROR(INDEX(R$5:R188,MATCH($A189,$A$5:$A188,0)),MAX(R$5:R188)+1))</f>
        <v/>
      </c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9" t="str">
        <f aca="false">IF(J190="","",IFERROR(INDEX('JSON del cliente'!$B$5:$B$288,MATCH(J190,'JSON del cliente'!$A$5:$A$288,0)),"no está en el JSON"))</f>
        <v/>
      </c>
      <c r="L190" s="8"/>
      <c r="M190" s="8"/>
      <c r="N190" s="8"/>
      <c r="O190" s="8"/>
      <c r="P190" s="8"/>
      <c r="Q190" s="7" t="n">
        <f aca="false">IF(AND($A190=$A189,$B190=$B189),Q189,Q189+1)</f>
        <v>14</v>
      </c>
      <c r="R190" s="0" t="str">
        <f aca="false">IF($A190="","",IFERROR(INDEX(R$5:R189,MATCH($A190,$A$5:$A189,0)),MAX(R$5:R189)+1))</f>
        <v/>
      </c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9" t="str">
        <f aca="false">IF(J191="","",IFERROR(INDEX('JSON del cliente'!$B$5:$B$288,MATCH(J191,'JSON del cliente'!$A$5:$A$288,0)),"no está en el JSON"))</f>
        <v/>
      </c>
      <c r="L191" s="8"/>
      <c r="M191" s="8"/>
      <c r="N191" s="8"/>
      <c r="O191" s="8"/>
      <c r="P191" s="8"/>
      <c r="Q191" s="7" t="n">
        <f aca="false">IF(AND($A191=$A190,$B191=$B190),Q190,Q190+1)</f>
        <v>14</v>
      </c>
      <c r="R191" s="0" t="str">
        <f aca="false">IF($A191="","",IFERROR(INDEX(R$5:R190,MATCH($A191,$A$5:$A190,0)),MAX(R$5:R190)+1))</f>
        <v/>
      </c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9" t="str">
        <f aca="false">IF(J192="","",IFERROR(INDEX('JSON del cliente'!$B$5:$B$288,MATCH(J192,'JSON del cliente'!$A$5:$A$288,0)),"no está en el JSON"))</f>
        <v/>
      </c>
      <c r="L192" s="8"/>
      <c r="M192" s="8"/>
      <c r="N192" s="8"/>
      <c r="O192" s="8"/>
      <c r="P192" s="8"/>
      <c r="Q192" s="7" t="n">
        <f aca="false">IF(AND($A192=$A191,$B192=$B191),Q191,Q191+1)</f>
        <v>14</v>
      </c>
      <c r="R192" s="0" t="str">
        <f aca="false">IF($A192="","",IFERROR(INDEX(R$5:R191,MATCH($A192,$A$5:$A191,0)),MAX(R$5:R191)+1))</f>
        <v/>
      </c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9" t="str">
        <f aca="false">IF(J193="","",IFERROR(INDEX('JSON del cliente'!$B$5:$B$288,MATCH(J193,'JSON del cliente'!$A$5:$A$288,0)),"no está en el JSON"))</f>
        <v/>
      </c>
      <c r="L193" s="8"/>
      <c r="M193" s="8"/>
      <c r="N193" s="8"/>
      <c r="O193" s="8"/>
      <c r="P193" s="8"/>
      <c r="Q193" s="7" t="n">
        <f aca="false">IF(AND($A193=$A192,$B193=$B192),Q192,Q192+1)</f>
        <v>14</v>
      </c>
      <c r="R193" s="0" t="str">
        <f aca="false">IF($A193="","",IFERROR(INDEX(R$5:R192,MATCH($A193,$A$5:$A192,0)),MAX(R$5:R192)+1))</f>
        <v/>
      </c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9" t="str">
        <f aca="false">IF(J194="","",IFERROR(INDEX('JSON del cliente'!$B$5:$B$288,MATCH(J194,'JSON del cliente'!$A$5:$A$288,0)),"no está en el JSON"))</f>
        <v/>
      </c>
      <c r="L194" s="8"/>
      <c r="M194" s="8"/>
      <c r="N194" s="8"/>
      <c r="O194" s="8"/>
      <c r="P194" s="8"/>
      <c r="Q194" s="7" t="n">
        <f aca="false">IF(AND($A194=$A193,$B194=$B193),Q193,Q193+1)</f>
        <v>14</v>
      </c>
      <c r="R194" s="0" t="str">
        <f aca="false">IF($A194="","",IFERROR(INDEX(R$5:R193,MATCH($A194,$A$5:$A193,0)),MAX(R$5:R193)+1))</f>
        <v/>
      </c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9" t="str">
        <f aca="false">IF(J195="","",IFERROR(INDEX('JSON del cliente'!$B$5:$B$288,MATCH(J195,'JSON del cliente'!$A$5:$A$288,0)),"no está en el JSON"))</f>
        <v/>
      </c>
      <c r="L195" s="8"/>
      <c r="M195" s="8"/>
      <c r="N195" s="8"/>
      <c r="O195" s="8"/>
      <c r="P195" s="8"/>
      <c r="Q195" s="7" t="n">
        <f aca="false">IF(AND($A195=$A194,$B195=$B194),Q194,Q194+1)</f>
        <v>14</v>
      </c>
      <c r="R195" s="0" t="str">
        <f aca="false">IF($A195="","",IFERROR(INDEX(R$5:R194,MATCH($A195,$A$5:$A194,0)),MAX(R$5:R194)+1))</f>
        <v/>
      </c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9" t="str">
        <f aca="false">IF(J196="","",IFERROR(INDEX('JSON del cliente'!$B$5:$B$288,MATCH(J196,'JSON del cliente'!$A$5:$A$288,0)),"no está en el JSON"))</f>
        <v/>
      </c>
      <c r="L196" s="8"/>
      <c r="M196" s="8"/>
      <c r="N196" s="8"/>
      <c r="O196" s="8"/>
      <c r="P196" s="8"/>
      <c r="Q196" s="7" t="n">
        <f aca="false">IF(AND($A196=$A195,$B196=$B195),Q195,Q195+1)</f>
        <v>14</v>
      </c>
      <c r="R196" s="0" t="str">
        <f aca="false">IF($A196="","",IFERROR(INDEX(R$5:R195,MATCH($A196,$A$5:$A195,0)),MAX(R$5:R195)+1))</f>
        <v/>
      </c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9" t="str">
        <f aca="false">IF(J197="","",IFERROR(INDEX('JSON del cliente'!$B$5:$B$288,MATCH(J197,'JSON del cliente'!$A$5:$A$288,0)),"no está en el JSON"))</f>
        <v/>
      </c>
      <c r="L197" s="8"/>
      <c r="M197" s="8"/>
      <c r="N197" s="8"/>
      <c r="O197" s="8"/>
      <c r="P197" s="8"/>
      <c r="Q197" s="7" t="n">
        <f aca="false">IF(AND($A197=$A196,$B197=$B196),Q196,Q196+1)</f>
        <v>14</v>
      </c>
      <c r="R197" s="0" t="str">
        <f aca="false">IF($A197="","",IFERROR(INDEX(R$5:R196,MATCH($A197,$A$5:$A196,0)),MAX(R$5:R196)+1))</f>
        <v/>
      </c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9" t="str">
        <f aca="false">IF(J198="","",IFERROR(INDEX('JSON del cliente'!$B$5:$B$288,MATCH(J198,'JSON del cliente'!$A$5:$A$288,0)),"no está en el JSON"))</f>
        <v/>
      </c>
      <c r="L198" s="8"/>
      <c r="M198" s="8"/>
      <c r="N198" s="8"/>
      <c r="O198" s="8"/>
      <c r="P198" s="8"/>
      <c r="Q198" s="7" t="n">
        <f aca="false">IF(AND($A198=$A197,$B198=$B197),Q197,Q197+1)</f>
        <v>14</v>
      </c>
      <c r="R198" s="0" t="str">
        <f aca="false">IF($A198="","",IFERROR(INDEX(R$5:R197,MATCH($A198,$A$5:$A197,0)),MAX(R$5:R197)+1))</f>
        <v/>
      </c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9" t="str">
        <f aca="false">IF(J199="","",IFERROR(INDEX('JSON del cliente'!$B$5:$B$288,MATCH(J199,'JSON del cliente'!$A$5:$A$288,0)),"no está en el JSON"))</f>
        <v/>
      </c>
      <c r="L199" s="8"/>
      <c r="M199" s="8"/>
      <c r="N199" s="8"/>
      <c r="O199" s="8"/>
      <c r="P199" s="8"/>
      <c r="Q199" s="7" t="n">
        <f aca="false">IF(AND($A199=$A198,$B199=$B198),Q198,Q198+1)</f>
        <v>14</v>
      </c>
      <c r="R199" s="0" t="str">
        <f aca="false">IF($A199="","",IFERROR(INDEX(R$5:R198,MATCH($A199,$A$5:$A198,0)),MAX(R$5:R198)+1))</f>
        <v/>
      </c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9" t="str">
        <f aca="false">IF(J200="","",IFERROR(INDEX('JSON del cliente'!$B$5:$B$288,MATCH(J200,'JSON del cliente'!$A$5:$A$288,0)),"no está en el JSON"))</f>
        <v/>
      </c>
      <c r="L200" s="8"/>
      <c r="M200" s="8"/>
      <c r="N200" s="8"/>
      <c r="O200" s="8"/>
      <c r="P200" s="8"/>
      <c r="Q200" s="7" t="n">
        <f aca="false">IF(AND($A200=$A199,$B200=$B199),Q199,Q199+1)</f>
        <v>14</v>
      </c>
      <c r="R200" s="0" t="str">
        <f aca="false">IF($A200="","",IFERROR(INDEX(R$5:R199,MATCH($A200,$A$5:$A199,0)),MAX(R$5:R199)+1))</f>
        <v/>
      </c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9" t="str">
        <f aca="false">IF(J201="","",IFERROR(INDEX('JSON del cliente'!$B$5:$B$288,MATCH(J201,'JSON del cliente'!$A$5:$A$288,0)),"no está en el JSON"))</f>
        <v/>
      </c>
      <c r="L201" s="8"/>
      <c r="M201" s="8"/>
      <c r="N201" s="8"/>
      <c r="O201" s="8"/>
      <c r="P201" s="8"/>
      <c r="Q201" s="7" t="n">
        <f aca="false">IF(AND($A201=$A200,$B201=$B200),Q200,Q200+1)</f>
        <v>14</v>
      </c>
      <c r="R201" s="0" t="str">
        <f aca="false">IF($A201="","",IFERROR(INDEX(R$5:R200,MATCH($A201,$A$5:$A200,0)),MAX(R$5:R200)+1))</f>
        <v/>
      </c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9" t="str">
        <f aca="false">IF(J202="","",IFERROR(INDEX('JSON del cliente'!$B$5:$B$288,MATCH(J202,'JSON del cliente'!$A$5:$A$288,0)),"no está en el JSON"))</f>
        <v/>
      </c>
      <c r="L202" s="8"/>
      <c r="M202" s="8"/>
      <c r="N202" s="8"/>
      <c r="O202" s="8"/>
      <c r="P202" s="8"/>
      <c r="Q202" s="7" t="n">
        <f aca="false">IF(AND($A202=$A201,$B202=$B201),Q201,Q201+1)</f>
        <v>14</v>
      </c>
      <c r="R202" s="0" t="str">
        <f aca="false">IF($A202="","",IFERROR(INDEX(R$5:R201,MATCH($A202,$A$5:$A201,0)),MAX(R$5:R201)+1))</f>
        <v/>
      </c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9" t="str">
        <f aca="false">IF(J203="","",IFERROR(INDEX('JSON del cliente'!$B$5:$B$288,MATCH(J203,'JSON del cliente'!$A$5:$A$288,0)),"no está en el JSON"))</f>
        <v/>
      </c>
      <c r="L203" s="8"/>
      <c r="M203" s="8"/>
      <c r="N203" s="8"/>
      <c r="O203" s="8"/>
      <c r="P203" s="8"/>
      <c r="Q203" s="7" t="n">
        <f aca="false">IF(AND($A203=$A202,$B203=$B202),Q202,Q202+1)</f>
        <v>14</v>
      </c>
      <c r="R203" s="0" t="str">
        <f aca="false">IF($A203="","",IFERROR(INDEX(R$5:R202,MATCH($A203,$A$5:$A202,0)),MAX(R$5:R202)+1))</f>
        <v/>
      </c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9" t="str">
        <f aca="false">IF(J204="","",IFERROR(INDEX('JSON del cliente'!$B$5:$B$288,MATCH(J204,'JSON del cliente'!$A$5:$A$288,0)),"no está en el JSON"))</f>
        <v/>
      </c>
      <c r="L204" s="8"/>
      <c r="M204" s="8"/>
      <c r="N204" s="8"/>
      <c r="O204" s="8"/>
      <c r="P204" s="8"/>
      <c r="Q204" s="7" t="n">
        <f aca="false">IF(AND($A204=$A203,$B204=$B203),Q203,Q203+1)</f>
        <v>14</v>
      </c>
      <c r="R204" s="0" t="str">
        <f aca="false">IF($A204="","",IFERROR(INDEX(R$5:R203,MATCH($A204,$A$5:$A203,0)),MAX(R$5:R203)+1))</f>
        <v/>
      </c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9" t="str">
        <f aca="false">IF(J205="","",IFERROR(INDEX('JSON del cliente'!$B$5:$B$288,MATCH(J205,'JSON del cliente'!$A$5:$A$288,0)),"no está en el JSON"))</f>
        <v/>
      </c>
      <c r="L205" s="8"/>
      <c r="M205" s="8"/>
      <c r="N205" s="8"/>
      <c r="O205" s="8"/>
      <c r="P205" s="8"/>
      <c r="Q205" s="7" t="n">
        <f aca="false">IF(AND($A205=$A204,$B205=$B204),Q204,Q204+1)</f>
        <v>14</v>
      </c>
      <c r="R205" s="0" t="str">
        <f aca="false">IF($A205="","",IFERROR(INDEX(R$5:R204,MATCH($A205,$A$5:$A204,0)),MAX(R$5:R204)+1))</f>
        <v/>
      </c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9" t="str">
        <f aca="false">IF(J206="","",IFERROR(INDEX('JSON del cliente'!$B$5:$B$288,MATCH(J206,'JSON del cliente'!$A$5:$A$288,0)),"no está en el JSON"))</f>
        <v/>
      </c>
      <c r="L206" s="8"/>
      <c r="M206" s="8"/>
      <c r="N206" s="8"/>
      <c r="O206" s="8"/>
      <c r="P206" s="8"/>
      <c r="Q206" s="7" t="n">
        <f aca="false">IF(AND($A206=$A205,$B206=$B205),Q205,Q205+1)</f>
        <v>14</v>
      </c>
      <c r="R206" s="0" t="str">
        <f aca="false">IF($A206="","",IFERROR(INDEX(R$5:R205,MATCH($A206,$A$5:$A205,0)),MAX(R$5:R205)+1))</f>
        <v/>
      </c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9" t="str">
        <f aca="false">IF(J207="","",IFERROR(INDEX('JSON del cliente'!$B$5:$B$288,MATCH(J207,'JSON del cliente'!$A$5:$A$288,0)),"no está en el JSON"))</f>
        <v/>
      </c>
      <c r="L207" s="8"/>
      <c r="M207" s="8"/>
      <c r="N207" s="8"/>
      <c r="O207" s="8"/>
      <c r="P207" s="8"/>
      <c r="Q207" s="7" t="n">
        <f aca="false">IF(AND($A207=$A206,$B207=$B206),Q206,Q206+1)</f>
        <v>14</v>
      </c>
      <c r="R207" s="0" t="str">
        <f aca="false">IF($A207="","",IFERROR(INDEX(R$5:R206,MATCH($A207,$A$5:$A206,0)),MAX(R$5:R206)+1))</f>
        <v/>
      </c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9" t="str">
        <f aca="false">IF(J208="","",IFERROR(INDEX('JSON del cliente'!$B$5:$B$288,MATCH(J208,'JSON del cliente'!$A$5:$A$288,0)),"no está en el JSON"))</f>
        <v/>
      </c>
      <c r="L208" s="8"/>
      <c r="M208" s="8"/>
      <c r="N208" s="8"/>
      <c r="O208" s="8"/>
      <c r="P208" s="8"/>
      <c r="Q208" s="7" t="n">
        <f aca="false">IF(AND($A208=$A207,$B208=$B207),Q207,Q207+1)</f>
        <v>14</v>
      </c>
      <c r="R208" s="0" t="str">
        <f aca="false">IF($A208="","",IFERROR(INDEX(R$5:R207,MATCH($A208,$A$5:$A207,0)),MAX(R$5:R207)+1))</f>
        <v/>
      </c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9" t="str">
        <f aca="false">IF(J209="","",IFERROR(INDEX('JSON del cliente'!$B$5:$B$288,MATCH(J209,'JSON del cliente'!$A$5:$A$288,0)),"no está en el JSON"))</f>
        <v/>
      </c>
      <c r="L209" s="8"/>
      <c r="M209" s="8"/>
      <c r="N209" s="8"/>
      <c r="O209" s="8"/>
      <c r="P209" s="8"/>
      <c r="Q209" s="7" t="n">
        <f aca="false">IF(AND($A209=$A208,$B209=$B208),Q208,Q208+1)</f>
        <v>14</v>
      </c>
      <c r="R209" s="0" t="str">
        <f aca="false">IF($A209="","",IFERROR(INDEX(R$5:R208,MATCH($A209,$A$5:$A208,0)),MAX(R$5:R208)+1))</f>
        <v/>
      </c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9" t="str">
        <f aca="false">IF(J210="","",IFERROR(INDEX('JSON del cliente'!$B$5:$B$288,MATCH(J210,'JSON del cliente'!$A$5:$A$288,0)),"no está en el JSON"))</f>
        <v/>
      </c>
      <c r="L210" s="8"/>
      <c r="M210" s="8"/>
      <c r="N210" s="8"/>
      <c r="O210" s="8"/>
      <c r="P210" s="8"/>
      <c r="Q210" s="7" t="n">
        <f aca="false">IF(AND($A210=$A209,$B210=$B209),Q209,Q209+1)</f>
        <v>14</v>
      </c>
      <c r="R210" s="0" t="str">
        <f aca="false">IF($A210="","",IFERROR(INDEX(R$5:R209,MATCH($A210,$A$5:$A209,0)),MAX(R$5:R209)+1))</f>
        <v/>
      </c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9" t="str">
        <f aca="false">IF(J211="","",IFERROR(INDEX('JSON del cliente'!$B$5:$B$288,MATCH(J211,'JSON del cliente'!$A$5:$A$288,0)),"no está en el JSON"))</f>
        <v/>
      </c>
      <c r="L211" s="8"/>
      <c r="M211" s="8"/>
      <c r="N211" s="8"/>
      <c r="O211" s="8"/>
      <c r="P211" s="8"/>
      <c r="Q211" s="7" t="n">
        <f aca="false">IF(AND($A211=$A210,$B211=$B210),Q210,Q210+1)</f>
        <v>14</v>
      </c>
      <c r="R211" s="0" t="str">
        <f aca="false">IF($A211="","",IFERROR(INDEX(R$5:R210,MATCH($A211,$A$5:$A210,0)),MAX(R$5:R210)+1))</f>
        <v/>
      </c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9" t="str">
        <f aca="false">IF(J212="","",IFERROR(INDEX('JSON del cliente'!$B$5:$B$288,MATCH(J212,'JSON del cliente'!$A$5:$A$288,0)),"no está en el JSON"))</f>
        <v/>
      </c>
      <c r="L212" s="8"/>
      <c r="M212" s="8"/>
      <c r="N212" s="8"/>
      <c r="O212" s="8"/>
      <c r="P212" s="8"/>
      <c r="Q212" s="7" t="n">
        <f aca="false">IF(AND($A212=$A211,$B212=$B211),Q211,Q211+1)</f>
        <v>14</v>
      </c>
      <c r="R212" s="0" t="str">
        <f aca="false">IF($A212="","",IFERROR(INDEX(R$5:R211,MATCH($A212,$A$5:$A211,0)),MAX(R$5:R211)+1))</f>
        <v/>
      </c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9" t="str">
        <f aca="false">IF(J213="","",IFERROR(INDEX('JSON del cliente'!$B$5:$B$288,MATCH(J213,'JSON del cliente'!$A$5:$A$288,0)),"no está en el JSON"))</f>
        <v/>
      </c>
      <c r="L213" s="8"/>
      <c r="M213" s="8"/>
      <c r="N213" s="8"/>
      <c r="O213" s="8"/>
      <c r="P213" s="8"/>
      <c r="Q213" s="7" t="n">
        <f aca="false">IF(AND($A213=$A212,$B213=$B212),Q212,Q212+1)</f>
        <v>14</v>
      </c>
      <c r="R213" s="0" t="str">
        <f aca="false">IF($A213="","",IFERROR(INDEX(R$5:R212,MATCH($A213,$A$5:$A212,0)),MAX(R$5:R212)+1))</f>
        <v/>
      </c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9" t="str">
        <f aca="false">IF(J214="","",IFERROR(INDEX('JSON del cliente'!$B$5:$B$288,MATCH(J214,'JSON del cliente'!$A$5:$A$288,0)),"no está en el JSON"))</f>
        <v/>
      </c>
      <c r="L214" s="8"/>
      <c r="M214" s="8"/>
      <c r="N214" s="8"/>
      <c r="O214" s="8"/>
      <c r="P214" s="8"/>
      <c r="Q214" s="7" t="n">
        <f aca="false">IF(AND($A214=$A213,$B214=$B213),Q213,Q213+1)</f>
        <v>14</v>
      </c>
      <c r="R214" s="0" t="str">
        <f aca="false">IF($A214="","",IFERROR(INDEX(R$5:R213,MATCH($A214,$A$5:$A213,0)),MAX(R$5:R213)+1))</f>
        <v/>
      </c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9" t="str">
        <f aca="false">IF(J215="","",IFERROR(INDEX('JSON del cliente'!$B$5:$B$288,MATCH(J215,'JSON del cliente'!$A$5:$A$288,0)),"no está en el JSON"))</f>
        <v/>
      </c>
      <c r="L215" s="8"/>
      <c r="M215" s="8"/>
      <c r="N215" s="8"/>
      <c r="O215" s="8"/>
      <c r="P215" s="8"/>
      <c r="Q215" s="7" t="n">
        <f aca="false">IF(AND($A215=$A214,$B215=$B214),Q214,Q214+1)</f>
        <v>14</v>
      </c>
      <c r="R215" s="0" t="str">
        <f aca="false">IF($A215="","",IFERROR(INDEX(R$5:R214,MATCH($A215,$A$5:$A214,0)),MAX(R$5:R214)+1))</f>
        <v/>
      </c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9" t="str">
        <f aca="false">IF(J216="","",IFERROR(INDEX('JSON del cliente'!$B$5:$B$288,MATCH(J216,'JSON del cliente'!$A$5:$A$288,0)),"no está en el JSON"))</f>
        <v/>
      </c>
      <c r="L216" s="8"/>
      <c r="M216" s="8"/>
      <c r="N216" s="8"/>
      <c r="O216" s="8"/>
      <c r="P216" s="8"/>
      <c r="Q216" s="7" t="n">
        <f aca="false">IF(AND($A216=$A215,$B216=$B215),Q215,Q215+1)</f>
        <v>14</v>
      </c>
      <c r="R216" s="0" t="str">
        <f aca="false">IF($A216="","",IFERROR(INDEX(R$5:R215,MATCH($A216,$A$5:$A215,0)),MAX(R$5:R215)+1))</f>
        <v/>
      </c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9" t="str">
        <f aca="false">IF(J217="","",IFERROR(INDEX('JSON del cliente'!$B$5:$B$288,MATCH(J217,'JSON del cliente'!$A$5:$A$288,0)),"no está en el JSON"))</f>
        <v/>
      </c>
      <c r="L217" s="8"/>
      <c r="M217" s="8"/>
      <c r="N217" s="8"/>
      <c r="O217" s="8"/>
      <c r="P217" s="8"/>
      <c r="Q217" s="7" t="n">
        <f aca="false">IF(AND($A217=$A216,$B217=$B216),Q216,Q216+1)</f>
        <v>14</v>
      </c>
      <c r="R217" s="0" t="str">
        <f aca="false">IF($A217="","",IFERROR(INDEX(R$5:R216,MATCH($A217,$A$5:$A216,0)),MAX(R$5:R216)+1))</f>
        <v/>
      </c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9" t="str">
        <f aca="false">IF(J218="","",IFERROR(INDEX('JSON del cliente'!$B$5:$B$288,MATCH(J218,'JSON del cliente'!$A$5:$A$288,0)),"no está en el JSON"))</f>
        <v/>
      </c>
      <c r="L218" s="8"/>
      <c r="M218" s="8"/>
      <c r="N218" s="8"/>
      <c r="O218" s="8"/>
      <c r="P218" s="8"/>
      <c r="Q218" s="7" t="n">
        <f aca="false">IF(AND($A218=$A217,$B218=$B217),Q217,Q217+1)</f>
        <v>14</v>
      </c>
      <c r="R218" s="0" t="str">
        <f aca="false">IF($A218="","",IFERROR(INDEX(R$5:R217,MATCH($A218,$A$5:$A217,0)),MAX(R$5:R217)+1))</f>
        <v/>
      </c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9" t="str">
        <f aca="false">IF(J219="","",IFERROR(INDEX('JSON del cliente'!$B$5:$B$288,MATCH(J219,'JSON del cliente'!$A$5:$A$288,0)),"no está en el JSON"))</f>
        <v/>
      </c>
      <c r="L219" s="8"/>
      <c r="M219" s="8"/>
      <c r="N219" s="8"/>
      <c r="O219" s="8"/>
      <c r="P219" s="8"/>
      <c r="Q219" s="7" t="n">
        <f aca="false">IF(AND($A219=$A218,$B219=$B218),Q218,Q218+1)</f>
        <v>14</v>
      </c>
      <c r="R219" s="0" t="str">
        <f aca="false">IF($A219="","",IFERROR(INDEX(R$5:R218,MATCH($A219,$A$5:$A218,0)),MAX(R$5:R218)+1))</f>
        <v/>
      </c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9" t="str">
        <f aca="false">IF(J220="","",IFERROR(INDEX('JSON del cliente'!$B$5:$B$288,MATCH(J220,'JSON del cliente'!$A$5:$A$288,0)),"no está en el JSON"))</f>
        <v/>
      </c>
      <c r="L220" s="8"/>
      <c r="M220" s="8"/>
      <c r="N220" s="8"/>
      <c r="O220" s="8"/>
      <c r="P220" s="8"/>
      <c r="Q220" s="7" t="n">
        <f aca="false">IF(AND($A220=$A219,$B220=$B219),Q219,Q219+1)</f>
        <v>14</v>
      </c>
      <c r="R220" s="0" t="str">
        <f aca="false">IF($A220="","",IFERROR(INDEX(R$5:R219,MATCH($A220,$A$5:$A219,0)),MAX(R$5:R219)+1))</f>
        <v/>
      </c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9" t="str">
        <f aca="false">IF(J221="","",IFERROR(INDEX('JSON del cliente'!$B$5:$B$288,MATCH(J221,'JSON del cliente'!$A$5:$A$288,0)),"no está en el JSON"))</f>
        <v/>
      </c>
      <c r="L221" s="8"/>
      <c r="M221" s="8"/>
      <c r="N221" s="8"/>
      <c r="O221" s="8"/>
      <c r="P221" s="8"/>
      <c r="Q221" s="7" t="n">
        <f aca="false">IF(AND($A221=$A220,$B221=$B220),Q220,Q220+1)</f>
        <v>14</v>
      </c>
      <c r="R221" s="0" t="str">
        <f aca="false">IF($A221="","",IFERROR(INDEX(R$5:R220,MATCH($A221,$A$5:$A220,0)),MAX(R$5:R220)+1))</f>
        <v/>
      </c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9" t="str">
        <f aca="false">IF(J222="","",IFERROR(INDEX('JSON del cliente'!$B$5:$B$288,MATCH(J222,'JSON del cliente'!$A$5:$A$288,0)),"no está en el JSON"))</f>
        <v/>
      </c>
      <c r="L222" s="8"/>
      <c r="M222" s="8"/>
      <c r="N222" s="8"/>
      <c r="O222" s="8"/>
      <c r="P222" s="8"/>
      <c r="Q222" s="7" t="n">
        <f aca="false">IF(AND($A222=$A221,$B222=$B221),Q221,Q221+1)</f>
        <v>14</v>
      </c>
      <c r="R222" s="0" t="str">
        <f aca="false">IF($A222="","",IFERROR(INDEX(R$5:R221,MATCH($A222,$A$5:$A221,0)),MAX(R$5:R221)+1))</f>
        <v/>
      </c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9" t="str">
        <f aca="false">IF(J223="","",IFERROR(INDEX('JSON del cliente'!$B$5:$B$288,MATCH(J223,'JSON del cliente'!$A$5:$A$288,0)),"no está en el JSON"))</f>
        <v/>
      </c>
      <c r="L223" s="8"/>
      <c r="M223" s="8"/>
      <c r="N223" s="8"/>
      <c r="O223" s="8"/>
      <c r="P223" s="8"/>
      <c r="Q223" s="7" t="n">
        <f aca="false">IF(AND($A223=$A222,$B223=$B222),Q222,Q222+1)</f>
        <v>14</v>
      </c>
      <c r="R223" s="0" t="str">
        <f aca="false">IF($A223="","",IFERROR(INDEX(R$5:R222,MATCH($A223,$A$5:$A222,0)),MAX(R$5:R222)+1))</f>
        <v/>
      </c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9" t="str">
        <f aca="false">IF(J224="","",IFERROR(INDEX('JSON del cliente'!$B$5:$B$288,MATCH(J224,'JSON del cliente'!$A$5:$A$288,0)),"no está en el JSON"))</f>
        <v/>
      </c>
      <c r="L224" s="8"/>
      <c r="M224" s="8"/>
      <c r="N224" s="8"/>
      <c r="O224" s="8"/>
      <c r="P224" s="8"/>
      <c r="Q224" s="7" t="n">
        <f aca="false">IF(AND($A224=$A223,$B224=$B223),Q223,Q223+1)</f>
        <v>14</v>
      </c>
      <c r="R224" s="0" t="str">
        <f aca="false">IF($A224="","",IFERROR(INDEX(R$5:R223,MATCH($A224,$A$5:$A223,0)),MAX(R$5:R223)+1))</f>
        <v/>
      </c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9" t="str">
        <f aca="false">IF(J225="","",IFERROR(INDEX('JSON del cliente'!$B$5:$B$288,MATCH(J225,'JSON del cliente'!$A$5:$A$288,0)),"no está en el JSON"))</f>
        <v/>
      </c>
      <c r="L225" s="8"/>
      <c r="M225" s="8"/>
      <c r="N225" s="8"/>
      <c r="O225" s="8"/>
      <c r="P225" s="8"/>
      <c r="Q225" s="7" t="n">
        <f aca="false">IF(AND($A225=$A224,$B225=$B224),Q224,Q224+1)</f>
        <v>14</v>
      </c>
      <c r="R225" s="0" t="str">
        <f aca="false">IF($A225="","",IFERROR(INDEX(R$5:R224,MATCH($A225,$A$5:$A224,0)),MAX(R$5:R224)+1))</f>
        <v/>
      </c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9" t="str">
        <f aca="false">IF(J226="","",IFERROR(INDEX('JSON del cliente'!$B$5:$B$288,MATCH(J226,'JSON del cliente'!$A$5:$A$288,0)),"no está en el JSON"))</f>
        <v/>
      </c>
      <c r="L226" s="8"/>
      <c r="M226" s="8"/>
      <c r="N226" s="8"/>
      <c r="O226" s="8"/>
      <c r="P226" s="8"/>
      <c r="Q226" s="7" t="n">
        <f aca="false">IF(AND($A226=$A225,$B226=$B225),Q225,Q225+1)</f>
        <v>14</v>
      </c>
      <c r="R226" s="0" t="str">
        <f aca="false">IF($A226="","",IFERROR(INDEX(R$5:R225,MATCH($A226,$A$5:$A225,0)),MAX(R$5:R225)+1))</f>
        <v/>
      </c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9" t="str">
        <f aca="false">IF(J227="","",IFERROR(INDEX('JSON del cliente'!$B$5:$B$288,MATCH(J227,'JSON del cliente'!$A$5:$A$288,0)),"no está en el JSON"))</f>
        <v/>
      </c>
      <c r="L227" s="8"/>
      <c r="M227" s="8"/>
      <c r="N227" s="8"/>
      <c r="O227" s="8"/>
      <c r="P227" s="8"/>
      <c r="Q227" s="7" t="n">
        <f aca="false">IF(AND($A227=$A226,$B227=$B226),Q226,Q226+1)</f>
        <v>14</v>
      </c>
      <c r="R227" s="0" t="str">
        <f aca="false">IF($A227="","",IFERROR(INDEX(R$5:R226,MATCH($A227,$A$5:$A226,0)),MAX(R$5:R226)+1))</f>
        <v/>
      </c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9" t="str">
        <f aca="false">IF(J228="","",IFERROR(INDEX('JSON del cliente'!$B$5:$B$288,MATCH(J228,'JSON del cliente'!$A$5:$A$288,0)),"no está en el JSON"))</f>
        <v/>
      </c>
      <c r="L228" s="8"/>
      <c r="M228" s="8"/>
      <c r="N228" s="8"/>
      <c r="O228" s="8"/>
      <c r="P228" s="8"/>
      <c r="Q228" s="7" t="n">
        <f aca="false">IF(AND($A228=$A227,$B228=$B227),Q227,Q227+1)</f>
        <v>14</v>
      </c>
      <c r="R228" s="0" t="str">
        <f aca="false">IF($A228="","",IFERROR(INDEX(R$5:R227,MATCH($A228,$A$5:$A227,0)),MAX(R$5:R227)+1))</f>
        <v/>
      </c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9" t="str">
        <f aca="false">IF(J229="","",IFERROR(INDEX('JSON del cliente'!$B$5:$B$288,MATCH(J229,'JSON del cliente'!$A$5:$A$288,0)),"no está en el JSON"))</f>
        <v/>
      </c>
      <c r="L229" s="8"/>
      <c r="M229" s="8"/>
      <c r="N229" s="8"/>
      <c r="O229" s="8"/>
      <c r="P229" s="8"/>
      <c r="Q229" s="7" t="n">
        <f aca="false">IF(AND($A229=$A228,$B229=$B228),Q228,Q228+1)</f>
        <v>14</v>
      </c>
      <c r="R229" s="0" t="str">
        <f aca="false">IF($A229="","",IFERROR(INDEX(R$5:R228,MATCH($A229,$A$5:$A228,0)),MAX(R$5:R228)+1))</f>
        <v/>
      </c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9" t="str">
        <f aca="false">IF(J230="","",IFERROR(INDEX('JSON del cliente'!$B$5:$B$288,MATCH(J230,'JSON del cliente'!$A$5:$A$288,0)),"no está en el JSON"))</f>
        <v/>
      </c>
      <c r="L230" s="8"/>
      <c r="M230" s="8"/>
      <c r="N230" s="8"/>
      <c r="O230" s="8"/>
      <c r="P230" s="8"/>
      <c r="Q230" s="7" t="n">
        <f aca="false">IF(AND($A230=$A229,$B230=$B229),Q229,Q229+1)</f>
        <v>14</v>
      </c>
      <c r="R230" s="0" t="str">
        <f aca="false">IF($A230="","",IFERROR(INDEX(R$5:R229,MATCH($A230,$A$5:$A229,0)),MAX(R$5:R229)+1))</f>
        <v/>
      </c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9" t="str">
        <f aca="false">IF(J231="","",IFERROR(INDEX('JSON del cliente'!$B$5:$B$288,MATCH(J231,'JSON del cliente'!$A$5:$A$288,0)),"no está en el JSON"))</f>
        <v/>
      </c>
      <c r="L231" s="8"/>
      <c r="M231" s="8"/>
      <c r="N231" s="8"/>
      <c r="O231" s="8"/>
      <c r="P231" s="8"/>
      <c r="Q231" s="7" t="n">
        <f aca="false">IF(AND($A231=$A230,$B231=$B230),Q230,Q230+1)</f>
        <v>14</v>
      </c>
      <c r="R231" s="0" t="str">
        <f aca="false">IF($A231="","",IFERROR(INDEX(R$5:R230,MATCH($A231,$A$5:$A230,0)),MAX(R$5:R230)+1))</f>
        <v/>
      </c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9" t="str">
        <f aca="false">IF(J232="","",IFERROR(INDEX('JSON del cliente'!$B$5:$B$288,MATCH(J232,'JSON del cliente'!$A$5:$A$288,0)),"no está en el JSON"))</f>
        <v/>
      </c>
      <c r="L232" s="8"/>
      <c r="M232" s="8"/>
      <c r="N232" s="8"/>
      <c r="O232" s="8"/>
      <c r="P232" s="8"/>
      <c r="Q232" s="7" t="n">
        <f aca="false">IF(AND($A232=$A231,$B232=$B231),Q231,Q231+1)</f>
        <v>14</v>
      </c>
      <c r="R232" s="0" t="str">
        <f aca="false">IF($A232="","",IFERROR(INDEX(R$5:R231,MATCH($A232,$A$5:$A231,0)),MAX(R$5:R231)+1))</f>
        <v/>
      </c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9" t="str">
        <f aca="false">IF(J233="","",IFERROR(INDEX('JSON del cliente'!$B$5:$B$288,MATCH(J233,'JSON del cliente'!$A$5:$A$288,0)),"no está en el JSON"))</f>
        <v/>
      </c>
      <c r="L233" s="8"/>
      <c r="M233" s="8"/>
      <c r="N233" s="8"/>
      <c r="O233" s="8"/>
      <c r="P233" s="8"/>
      <c r="Q233" s="7" t="n">
        <f aca="false">IF(AND($A233=$A232,$B233=$B232),Q232,Q232+1)</f>
        <v>14</v>
      </c>
      <c r="R233" s="0" t="str">
        <f aca="false">IF($A233="","",IFERROR(INDEX(R$5:R232,MATCH($A233,$A$5:$A232,0)),MAX(R$5:R232)+1))</f>
        <v/>
      </c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9" t="str">
        <f aca="false">IF(J234="","",IFERROR(INDEX('JSON del cliente'!$B$5:$B$288,MATCH(J234,'JSON del cliente'!$A$5:$A$288,0)),"no está en el JSON"))</f>
        <v/>
      </c>
      <c r="L234" s="8"/>
      <c r="M234" s="8"/>
      <c r="N234" s="8"/>
      <c r="O234" s="8"/>
      <c r="P234" s="8"/>
      <c r="Q234" s="7" t="n">
        <f aca="false">IF(AND($A234=$A233,$B234=$B233),Q233,Q233+1)</f>
        <v>14</v>
      </c>
      <c r="R234" s="0" t="str">
        <f aca="false">IF($A234="","",IFERROR(INDEX(R$5:R233,MATCH($A234,$A$5:$A233,0)),MAX(R$5:R233)+1))</f>
        <v/>
      </c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9" t="str">
        <f aca="false">IF(J235="","",IFERROR(INDEX('JSON del cliente'!$B$5:$B$288,MATCH(J235,'JSON del cliente'!$A$5:$A$288,0)),"no está en el JSON"))</f>
        <v/>
      </c>
      <c r="L235" s="8"/>
      <c r="M235" s="8"/>
      <c r="N235" s="8"/>
      <c r="O235" s="8"/>
      <c r="P235" s="8"/>
      <c r="Q235" s="7" t="n">
        <f aca="false">IF(AND($A235=$A234,$B235=$B234),Q234,Q234+1)</f>
        <v>14</v>
      </c>
      <c r="R235" s="0" t="str">
        <f aca="false">IF($A235="","",IFERROR(INDEX(R$5:R234,MATCH($A235,$A$5:$A234,0)),MAX(R$5:R234)+1))</f>
        <v/>
      </c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9" t="str">
        <f aca="false">IF(J236="","",IFERROR(INDEX('JSON del cliente'!$B$5:$B$288,MATCH(J236,'JSON del cliente'!$A$5:$A$288,0)),"no está en el JSON"))</f>
        <v/>
      </c>
      <c r="L236" s="8"/>
      <c r="M236" s="8"/>
      <c r="N236" s="8"/>
      <c r="O236" s="8"/>
      <c r="P236" s="8"/>
      <c r="Q236" s="7" t="n">
        <f aca="false">IF(AND($A236=$A235,$B236=$B235),Q235,Q235+1)</f>
        <v>14</v>
      </c>
      <c r="R236" s="0" t="str">
        <f aca="false">IF($A236="","",IFERROR(INDEX(R$5:R235,MATCH($A236,$A$5:$A235,0)),MAX(R$5:R235)+1))</f>
        <v/>
      </c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9" t="str">
        <f aca="false">IF(J237="","",IFERROR(INDEX('JSON del cliente'!$B$5:$B$288,MATCH(J237,'JSON del cliente'!$A$5:$A$288,0)),"no está en el JSON"))</f>
        <v/>
      </c>
      <c r="L237" s="8"/>
      <c r="M237" s="8"/>
      <c r="N237" s="8"/>
      <c r="O237" s="8"/>
      <c r="P237" s="8"/>
      <c r="Q237" s="7" t="n">
        <f aca="false">IF(AND($A237=$A236,$B237=$B236),Q236,Q236+1)</f>
        <v>14</v>
      </c>
      <c r="R237" s="0" t="str">
        <f aca="false">IF($A237="","",IFERROR(INDEX(R$5:R236,MATCH($A237,$A$5:$A236,0)),MAX(R$5:R236)+1))</f>
        <v/>
      </c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9" t="str">
        <f aca="false">IF(J238="","",IFERROR(INDEX('JSON del cliente'!$B$5:$B$288,MATCH(J238,'JSON del cliente'!$A$5:$A$288,0)),"no está en el JSON"))</f>
        <v/>
      </c>
      <c r="L238" s="8"/>
      <c r="M238" s="8"/>
      <c r="N238" s="8"/>
      <c r="O238" s="8"/>
      <c r="P238" s="8"/>
      <c r="Q238" s="7" t="n">
        <f aca="false">IF(AND($A238=$A237,$B238=$B237),Q237,Q237+1)</f>
        <v>14</v>
      </c>
      <c r="R238" s="0" t="str">
        <f aca="false">IF($A238="","",IFERROR(INDEX(R$5:R237,MATCH($A238,$A$5:$A237,0)),MAX(R$5:R237)+1))</f>
        <v/>
      </c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9" t="str">
        <f aca="false">IF(J239="","",IFERROR(INDEX('JSON del cliente'!$B$5:$B$288,MATCH(J239,'JSON del cliente'!$A$5:$A$288,0)),"no está en el JSON"))</f>
        <v/>
      </c>
      <c r="L239" s="8"/>
      <c r="M239" s="8"/>
      <c r="N239" s="8"/>
      <c r="O239" s="8"/>
      <c r="P239" s="8"/>
      <c r="Q239" s="7" t="n">
        <f aca="false">IF(AND($A239=$A238,$B239=$B238),Q238,Q238+1)</f>
        <v>14</v>
      </c>
      <c r="R239" s="0" t="str">
        <f aca="false">IF($A239="","",IFERROR(INDEX(R$5:R238,MATCH($A239,$A$5:$A238,0)),MAX(R$5:R238)+1))</f>
        <v/>
      </c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9" t="str">
        <f aca="false">IF(J240="","",IFERROR(INDEX('JSON del cliente'!$B$5:$B$288,MATCH(J240,'JSON del cliente'!$A$5:$A$288,0)),"no está en el JSON"))</f>
        <v/>
      </c>
      <c r="L240" s="8"/>
      <c r="M240" s="8"/>
      <c r="N240" s="8"/>
      <c r="O240" s="8"/>
      <c r="P240" s="8"/>
      <c r="Q240" s="7" t="n">
        <f aca="false">IF(AND($A240=$A239,$B240=$B239),Q239,Q239+1)</f>
        <v>14</v>
      </c>
      <c r="R240" s="0" t="str">
        <f aca="false">IF($A240="","",IFERROR(INDEX(R$5:R239,MATCH($A240,$A$5:$A239,0)),MAX(R$5:R239)+1))</f>
        <v/>
      </c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9" t="str">
        <f aca="false">IF(J241="","",IFERROR(INDEX('JSON del cliente'!$B$5:$B$288,MATCH(J241,'JSON del cliente'!$A$5:$A$288,0)),"no está en el JSON"))</f>
        <v/>
      </c>
      <c r="L241" s="8"/>
      <c r="M241" s="8"/>
      <c r="N241" s="8"/>
      <c r="O241" s="8"/>
      <c r="P241" s="8"/>
      <c r="Q241" s="7" t="n">
        <f aca="false">IF(AND($A241=$A240,$B241=$B240),Q240,Q240+1)</f>
        <v>14</v>
      </c>
      <c r="R241" s="0" t="str">
        <f aca="false">IF($A241="","",IFERROR(INDEX(R$5:R240,MATCH($A241,$A$5:$A240,0)),MAX(R$5:R240)+1))</f>
        <v/>
      </c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9" t="str">
        <f aca="false">IF(J242="","",IFERROR(INDEX('JSON del cliente'!$B$5:$B$288,MATCH(J242,'JSON del cliente'!$A$5:$A$288,0)),"no está en el JSON"))</f>
        <v/>
      </c>
      <c r="L242" s="8"/>
      <c r="M242" s="8"/>
      <c r="N242" s="8"/>
      <c r="O242" s="8"/>
      <c r="P242" s="8"/>
      <c r="Q242" s="7" t="n">
        <f aca="false">IF(AND($A242=$A241,$B242=$B241),Q241,Q241+1)</f>
        <v>14</v>
      </c>
      <c r="R242" s="0" t="str">
        <f aca="false">IF($A242="","",IFERROR(INDEX(R$5:R241,MATCH($A242,$A$5:$A241,0)),MAX(R$5:R241)+1))</f>
        <v/>
      </c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9" t="str">
        <f aca="false">IF(J243="","",IFERROR(INDEX('JSON del cliente'!$B$5:$B$288,MATCH(J243,'JSON del cliente'!$A$5:$A$288,0)),"no está en el JSON"))</f>
        <v/>
      </c>
      <c r="L243" s="8"/>
      <c r="M243" s="8"/>
      <c r="N243" s="8"/>
      <c r="O243" s="8"/>
      <c r="P243" s="8"/>
      <c r="Q243" s="7" t="n">
        <f aca="false">IF(AND($A243=$A242,$B243=$B242),Q242,Q242+1)</f>
        <v>14</v>
      </c>
      <c r="R243" s="0" t="str">
        <f aca="false">IF($A243="","",IFERROR(INDEX(R$5:R242,MATCH($A243,$A$5:$A242,0)),MAX(R$5:R242)+1))</f>
        <v/>
      </c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9" t="str">
        <f aca="false">IF(J244="","",IFERROR(INDEX('JSON del cliente'!$B$5:$B$288,MATCH(J244,'JSON del cliente'!$A$5:$A$288,0)),"no está en el JSON"))</f>
        <v/>
      </c>
      <c r="L244" s="8"/>
      <c r="M244" s="8"/>
      <c r="N244" s="8"/>
      <c r="O244" s="8"/>
      <c r="P244" s="8"/>
      <c r="Q244" s="7" t="n">
        <f aca="false">IF(AND($A244=$A243,$B244=$B243),Q243,Q243+1)</f>
        <v>14</v>
      </c>
      <c r="R244" s="0" t="str">
        <f aca="false">IF($A244="","",IFERROR(INDEX(R$5:R243,MATCH($A244,$A$5:$A243,0)),MAX(R$5:R243)+1))</f>
        <v/>
      </c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9" t="str">
        <f aca="false">IF(J245="","",IFERROR(INDEX('JSON del cliente'!$B$5:$B$288,MATCH(J245,'JSON del cliente'!$A$5:$A$288,0)),"no está en el JSON"))</f>
        <v/>
      </c>
      <c r="L245" s="8"/>
      <c r="M245" s="8"/>
      <c r="N245" s="8"/>
      <c r="O245" s="8"/>
      <c r="P245" s="8"/>
      <c r="Q245" s="7" t="n">
        <f aca="false">IF(AND($A245=$A244,$B245=$B244),Q244,Q244+1)</f>
        <v>14</v>
      </c>
      <c r="R245" s="0" t="str">
        <f aca="false">IF($A245="","",IFERROR(INDEX(R$5:R244,MATCH($A245,$A$5:$A244,0)),MAX(R$5:R244)+1))</f>
        <v/>
      </c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9" t="str">
        <f aca="false">IF(J246="","",IFERROR(INDEX('JSON del cliente'!$B$5:$B$288,MATCH(J246,'JSON del cliente'!$A$5:$A$288,0)),"no está en el JSON"))</f>
        <v/>
      </c>
      <c r="L246" s="8"/>
      <c r="M246" s="8"/>
      <c r="N246" s="8"/>
      <c r="O246" s="8"/>
      <c r="P246" s="8"/>
      <c r="Q246" s="7" t="n">
        <f aca="false">IF(AND($A246=$A245,$B246=$B245),Q245,Q245+1)</f>
        <v>14</v>
      </c>
      <c r="R246" s="0" t="str">
        <f aca="false">IF($A246="","",IFERROR(INDEX(R$5:R245,MATCH($A246,$A$5:$A245,0)),MAX(R$5:R245)+1))</f>
        <v/>
      </c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9" t="str">
        <f aca="false">IF(J247="","",IFERROR(INDEX('JSON del cliente'!$B$5:$B$288,MATCH(J247,'JSON del cliente'!$A$5:$A$288,0)),"no está en el JSON"))</f>
        <v/>
      </c>
      <c r="L247" s="8"/>
      <c r="M247" s="8"/>
      <c r="N247" s="8"/>
      <c r="O247" s="8"/>
      <c r="P247" s="8"/>
      <c r="Q247" s="7" t="n">
        <f aca="false">IF(AND($A247=$A246,$B247=$B246),Q246,Q246+1)</f>
        <v>14</v>
      </c>
      <c r="R247" s="0" t="str">
        <f aca="false">IF($A247="","",IFERROR(INDEX(R$5:R246,MATCH($A247,$A$5:$A246,0)),MAX(R$5:R246)+1))</f>
        <v/>
      </c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9" t="str">
        <f aca="false">IF(J248="","",IFERROR(INDEX('JSON del cliente'!$B$5:$B$288,MATCH(J248,'JSON del cliente'!$A$5:$A$288,0)),"no está en el JSON"))</f>
        <v/>
      </c>
      <c r="L248" s="8"/>
      <c r="M248" s="8"/>
      <c r="N248" s="8"/>
      <c r="O248" s="8"/>
      <c r="P248" s="8"/>
      <c r="Q248" s="7" t="n">
        <f aca="false">IF(AND($A248=$A247,$B248=$B247),Q247,Q247+1)</f>
        <v>14</v>
      </c>
      <c r="R248" s="0" t="str">
        <f aca="false">IF($A248="","",IFERROR(INDEX(R$5:R247,MATCH($A248,$A$5:$A247,0)),MAX(R$5:R247)+1))</f>
        <v/>
      </c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9" t="str">
        <f aca="false">IF(J249="","",IFERROR(INDEX('JSON del cliente'!$B$5:$B$288,MATCH(J249,'JSON del cliente'!$A$5:$A$288,0)),"no está en el JSON"))</f>
        <v/>
      </c>
      <c r="L249" s="8"/>
      <c r="M249" s="8"/>
      <c r="N249" s="8"/>
      <c r="O249" s="8"/>
      <c r="P249" s="8"/>
      <c r="Q249" s="7" t="n">
        <f aca="false">IF(AND($A249=$A248,$B249=$B248),Q248,Q248+1)</f>
        <v>14</v>
      </c>
      <c r="R249" s="0" t="str">
        <f aca="false">IF($A249="","",IFERROR(INDEX(R$5:R248,MATCH($A249,$A$5:$A248,0)),MAX(R$5:R248)+1))</f>
        <v/>
      </c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9" t="str">
        <f aca="false">IF(J250="","",IFERROR(INDEX('JSON del cliente'!$B$5:$B$288,MATCH(J250,'JSON del cliente'!$A$5:$A$288,0)),"no está en el JSON"))</f>
        <v/>
      </c>
      <c r="L250" s="8"/>
      <c r="M250" s="8"/>
      <c r="N250" s="8"/>
      <c r="O250" s="8"/>
      <c r="P250" s="8"/>
      <c r="Q250" s="7" t="n">
        <f aca="false">IF(AND($A250=$A249,$B250=$B249),Q249,Q249+1)</f>
        <v>14</v>
      </c>
      <c r="R250" s="0" t="str">
        <f aca="false">IF($A250="","",IFERROR(INDEX(R$5:R249,MATCH($A250,$A$5:$A249,0)),MAX(R$5:R249)+1))</f>
        <v/>
      </c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9" t="str">
        <f aca="false">IF(J251="","",IFERROR(INDEX('JSON del cliente'!$B$5:$B$288,MATCH(J251,'JSON del cliente'!$A$5:$A$288,0)),"no está en el JSON"))</f>
        <v/>
      </c>
      <c r="L251" s="8"/>
      <c r="M251" s="8"/>
      <c r="N251" s="8"/>
      <c r="O251" s="8"/>
      <c r="P251" s="8"/>
      <c r="Q251" s="7" t="n">
        <f aca="false">IF(AND($A251=$A250,$B251=$B250),Q250,Q250+1)</f>
        <v>14</v>
      </c>
      <c r="R251" s="0" t="str">
        <f aca="false">IF($A251="","",IFERROR(INDEX(R$5:R250,MATCH($A251,$A$5:$A250,0)),MAX(R$5:R250)+1))</f>
        <v/>
      </c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9" t="str">
        <f aca="false">IF(J252="","",IFERROR(INDEX('JSON del cliente'!$B$5:$B$288,MATCH(J252,'JSON del cliente'!$A$5:$A$288,0)),"no está en el JSON"))</f>
        <v/>
      </c>
      <c r="L252" s="8"/>
      <c r="M252" s="8"/>
      <c r="N252" s="8"/>
      <c r="O252" s="8"/>
      <c r="P252" s="8"/>
      <c r="Q252" s="7" t="n">
        <f aca="false">IF(AND($A252=$A251,$B252=$B251),Q251,Q251+1)</f>
        <v>14</v>
      </c>
      <c r="R252" s="0" t="str">
        <f aca="false">IF($A252="","",IFERROR(INDEX(R$5:R251,MATCH($A252,$A$5:$A251,0)),MAX(R$5:R251)+1))</f>
        <v/>
      </c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9" t="str">
        <f aca="false">IF(J253="","",IFERROR(INDEX('JSON del cliente'!$B$5:$B$288,MATCH(J253,'JSON del cliente'!$A$5:$A$288,0)),"no está en el JSON"))</f>
        <v/>
      </c>
      <c r="L253" s="8"/>
      <c r="M253" s="8"/>
      <c r="N253" s="8"/>
      <c r="O253" s="8"/>
      <c r="P253" s="8"/>
      <c r="Q253" s="7" t="n">
        <f aca="false">IF(AND($A253=$A252,$B253=$B252),Q252,Q252+1)</f>
        <v>14</v>
      </c>
      <c r="R253" s="0" t="str">
        <f aca="false">IF($A253="","",IFERROR(INDEX(R$5:R252,MATCH($A253,$A$5:$A252,0)),MAX(R$5:R252)+1))</f>
        <v/>
      </c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9" t="str">
        <f aca="false">IF(J254="","",IFERROR(INDEX('JSON del cliente'!$B$5:$B$288,MATCH(J254,'JSON del cliente'!$A$5:$A$288,0)),"no está en el JSON"))</f>
        <v/>
      </c>
      <c r="L254" s="8"/>
      <c r="M254" s="8"/>
      <c r="N254" s="8"/>
      <c r="O254" s="8"/>
      <c r="P254" s="8"/>
      <c r="Q254" s="7" t="n">
        <f aca="false">IF(AND($A254=$A253,$B254=$B253),Q253,Q253+1)</f>
        <v>14</v>
      </c>
      <c r="R254" s="0" t="str">
        <f aca="false">IF($A254="","",IFERROR(INDEX(R$5:R253,MATCH($A254,$A$5:$A253,0)),MAX(R$5:R253)+1))</f>
        <v/>
      </c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9" t="str">
        <f aca="false">IF(J255="","",IFERROR(INDEX('JSON del cliente'!$B$5:$B$288,MATCH(J255,'JSON del cliente'!$A$5:$A$288,0)),"no está en el JSON"))</f>
        <v/>
      </c>
      <c r="L255" s="8"/>
      <c r="M255" s="8"/>
      <c r="N255" s="8"/>
      <c r="O255" s="8"/>
      <c r="P255" s="8"/>
      <c r="Q255" s="7" t="n">
        <f aca="false">IF(AND($A255=$A254,$B255=$B254),Q254,Q254+1)</f>
        <v>14</v>
      </c>
      <c r="R255" s="0" t="str">
        <f aca="false">IF($A255="","",IFERROR(INDEX(R$5:R254,MATCH($A255,$A$5:$A254,0)),MAX(R$5:R254)+1))</f>
        <v/>
      </c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9" t="str">
        <f aca="false">IF(J256="","",IFERROR(INDEX('JSON del cliente'!$B$5:$B$288,MATCH(J256,'JSON del cliente'!$A$5:$A$288,0)),"no está en el JSON"))</f>
        <v/>
      </c>
      <c r="L256" s="8"/>
      <c r="M256" s="8"/>
      <c r="N256" s="8"/>
      <c r="O256" s="8"/>
      <c r="P256" s="8"/>
      <c r="Q256" s="7" t="n">
        <f aca="false">IF(AND($A256=$A255,$B256=$B255),Q255,Q255+1)</f>
        <v>14</v>
      </c>
      <c r="R256" s="0" t="str">
        <f aca="false">IF($A256="","",IFERROR(INDEX(R$5:R255,MATCH($A256,$A$5:$A255,0)),MAX(R$5:R255)+1))</f>
        <v/>
      </c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9" t="str">
        <f aca="false">IF(J257="","",IFERROR(INDEX('JSON del cliente'!$B$5:$B$288,MATCH(J257,'JSON del cliente'!$A$5:$A$288,0)),"no está en el JSON"))</f>
        <v/>
      </c>
      <c r="L257" s="8"/>
      <c r="M257" s="8"/>
      <c r="N257" s="8"/>
      <c r="O257" s="8"/>
      <c r="P257" s="8"/>
      <c r="Q257" s="7" t="n">
        <f aca="false">IF(AND($A257=$A256,$B257=$B256),Q256,Q256+1)</f>
        <v>14</v>
      </c>
      <c r="R257" s="0" t="str">
        <f aca="false">IF($A257="","",IFERROR(INDEX(R$5:R256,MATCH($A257,$A$5:$A256,0)),MAX(R$5:R256)+1))</f>
        <v/>
      </c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9" t="str">
        <f aca="false">IF(J258="","",IFERROR(INDEX('JSON del cliente'!$B$5:$B$288,MATCH(J258,'JSON del cliente'!$A$5:$A$288,0)),"no está en el JSON"))</f>
        <v/>
      </c>
      <c r="L258" s="8"/>
      <c r="M258" s="8"/>
      <c r="N258" s="8"/>
      <c r="O258" s="8"/>
      <c r="P258" s="8"/>
      <c r="Q258" s="7" t="n">
        <f aca="false">IF(AND($A258=$A257,$B258=$B257),Q257,Q257+1)</f>
        <v>14</v>
      </c>
      <c r="R258" s="0" t="str">
        <f aca="false">IF($A258="","",IFERROR(INDEX(R$5:R257,MATCH($A258,$A$5:$A257,0)),MAX(R$5:R257)+1))</f>
        <v/>
      </c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9" t="str">
        <f aca="false">IF(J259="","",IFERROR(INDEX('JSON del cliente'!$B$5:$B$288,MATCH(J259,'JSON del cliente'!$A$5:$A$288,0)),"no está en el JSON"))</f>
        <v/>
      </c>
      <c r="L259" s="8"/>
      <c r="M259" s="8"/>
      <c r="N259" s="8"/>
      <c r="O259" s="8"/>
      <c r="P259" s="8"/>
      <c r="Q259" s="7" t="n">
        <f aca="false">IF(AND($A259=$A258,$B259=$B258),Q258,Q258+1)</f>
        <v>14</v>
      </c>
      <c r="R259" s="0" t="str">
        <f aca="false">IF($A259="","",IFERROR(INDEX(R$5:R258,MATCH($A259,$A$5:$A258,0)),MAX(R$5:R258)+1))</f>
        <v/>
      </c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9" t="str">
        <f aca="false">IF(J260="","",IFERROR(INDEX('JSON del cliente'!$B$5:$B$288,MATCH(J260,'JSON del cliente'!$A$5:$A$288,0)),"no está en el JSON"))</f>
        <v/>
      </c>
      <c r="L260" s="8"/>
      <c r="M260" s="8"/>
      <c r="N260" s="8"/>
      <c r="O260" s="8"/>
      <c r="P260" s="8"/>
      <c r="Q260" s="7" t="n">
        <f aca="false">IF(AND($A260=$A259,$B260=$B259),Q259,Q259+1)</f>
        <v>14</v>
      </c>
      <c r="R260" s="0" t="str">
        <f aca="false">IF($A260="","",IFERROR(INDEX(R$5:R259,MATCH($A260,$A$5:$A259,0)),MAX(R$5:R259)+1))</f>
        <v/>
      </c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9" t="str">
        <f aca="false">IF(J261="","",IFERROR(INDEX('JSON del cliente'!$B$5:$B$288,MATCH(J261,'JSON del cliente'!$A$5:$A$288,0)),"no está en el JSON"))</f>
        <v/>
      </c>
      <c r="L261" s="8"/>
      <c r="M261" s="8"/>
      <c r="N261" s="8"/>
      <c r="O261" s="8"/>
      <c r="P261" s="8"/>
      <c r="Q261" s="7" t="n">
        <f aca="false">IF(AND($A261=$A260,$B261=$B260),Q260,Q260+1)</f>
        <v>14</v>
      </c>
      <c r="R261" s="0" t="str">
        <f aca="false">IF($A261="","",IFERROR(INDEX(R$5:R260,MATCH($A261,$A$5:$A260,0)),MAX(R$5:R260)+1))</f>
        <v/>
      </c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9" t="str">
        <f aca="false">IF(J262="","",IFERROR(INDEX('JSON del cliente'!$B$5:$B$288,MATCH(J262,'JSON del cliente'!$A$5:$A$288,0)),"no está en el JSON"))</f>
        <v/>
      </c>
      <c r="L262" s="8"/>
      <c r="M262" s="8"/>
      <c r="N262" s="8"/>
      <c r="O262" s="8"/>
      <c r="P262" s="8"/>
      <c r="Q262" s="7" t="n">
        <f aca="false">IF(AND($A262=$A261,$B262=$B261),Q261,Q261+1)</f>
        <v>14</v>
      </c>
      <c r="R262" s="0" t="str">
        <f aca="false">IF($A262="","",IFERROR(INDEX(R$5:R261,MATCH($A262,$A$5:$A261,0)),MAX(R$5:R261)+1))</f>
        <v/>
      </c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9" t="str">
        <f aca="false">IF(J263="","",IFERROR(INDEX('JSON del cliente'!$B$5:$B$288,MATCH(J263,'JSON del cliente'!$A$5:$A$288,0)),"no está en el JSON"))</f>
        <v/>
      </c>
      <c r="L263" s="8"/>
      <c r="M263" s="8"/>
      <c r="N263" s="8"/>
      <c r="O263" s="8"/>
      <c r="P263" s="8"/>
      <c r="Q263" s="7" t="n">
        <f aca="false">IF(AND($A263=$A262,$B263=$B262),Q262,Q262+1)</f>
        <v>14</v>
      </c>
      <c r="R263" s="0" t="str">
        <f aca="false">IF($A263="","",IFERROR(INDEX(R$5:R262,MATCH($A263,$A$5:$A262,0)),MAX(R$5:R262)+1))</f>
        <v/>
      </c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9" t="str">
        <f aca="false">IF(J264="","",IFERROR(INDEX('JSON del cliente'!$B$5:$B$288,MATCH(J264,'JSON del cliente'!$A$5:$A$288,0)),"no está en el JSON"))</f>
        <v/>
      </c>
      <c r="L264" s="8"/>
      <c r="M264" s="8"/>
      <c r="N264" s="8"/>
      <c r="O264" s="8"/>
      <c r="P264" s="8"/>
      <c r="Q264" s="7" t="n">
        <f aca="false">IF(AND($A264=$A263,$B264=$B263),Q263,Q263+1)</f>
        <v>14</v>
      </c>
      <c r="R264" s="0" t="str">
        <f aca="false">IF($A264="","",IFERROR(INDEX(R$5:R263,MATCH($A264,$A$5:$A263,0)),MAX(R$5:R263)+1))</f>
        <v/>
      </c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9" t="str">
        <f aca="false">IF(J265="","",IFERROR(INDEX('JSON del cliente'!$B$5:$B$288,MATCH(J265,'JSON del cliente'!$A$5:$A$288,0)),"no está en el JSON"))</f>
        <v/>
      </c>
      <c r="L265" s="8"/>
      <c r="M265" s="8"/>
      <c r="N265" s="8"/>
      <c r="O265" s="8"/>
      <c r="P265" s="8"/>
      <c r="Q265" s="7" t="n">
        <f aca="false">IF(AND($A265=$A264,$B265=$B264),Q264,Q264+1)</f>
        <v>14</v>
      </c>
      <c r="R265" s="0" t="str">
        <f aca="false">IF($A265="","",IFERROR(INDEX(R$5:R264,MATCH($A265,$A$5:$A264,0)),MAX(R$5:R264)+1))</f>
        <v/>
      </c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9" t="str">
        <f aca="false">IF(J266="","",IFERROR(INDEX('JSON del cliente'!$B$5:$B$288,MATCH(J266,'JSON del cliente'!$A$5:$A$288,0)),"no está en el JSON"))</f>
        <v/>
      </c>
      <c r="L266" s="8"/>
      <c r="M266" s="8"/>
      <c r="N266" s="8"/>
      <c r="O266" s="8"/>
      <c r="P266" s="8"/>
      <c r="Q266" s="7" t="n">
        <f aca="false">IF(AND($A266=$A265,$B266=$B265),Q265,Q265+1)</f>
        <v>14</v>
      </c>
      <c r="R266" s="0" t="str">
        <f aca="false">IF($A266="","",IFERROR(INDEX(R$5:R265,MATCH($A266,$A$5:$A265,0)),MAX(R$5:R265)+1))</f>
        <v/>
      </c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9" t="str">
        <f aca="false">IF(J267="","",IFERROR(INDEX('JSON del cliente'!$B$5:$B$288,MATCH(J267,'JSON del cliente'!$A$5:$A$288,0)),"no está en el JSON"))</f>
        <v/>
      </c>
      <c r="L267" s="8"/>
      <c r="M267" s="8"/>
      <c r="N267" s="8"/>
      <c r="O267" s="8"/>
      <c r="P267" s="8"/>
      <c r="Q267" s="7" t="n">
        <f aca="false">IF(AND($A267=$A266,$B267=$B266),Q266,Q266+1)</f>
        <v>14</v>
      </c>
      <c r="R267" s="0" t="str">
        <f aca="false">IF($A267="","",IFERROR(INDEX(R$5:R266,MATCH($A267,$A$5:$A266,0)),MAX(R$5:R266)+1))</f>
        <v/>
      </c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9" t="str">
        <f aca="false">IF(J268="","",IFERROR(INDEX('JSON del cliente'!$B$5:$B$288,MATCH(J268,'JSON del cliente'!$A$5:$A$288,0)),"no está en el JSON"))</f>
        <v/>
      </c>
      <c r="L268" s="8"/>
      <c r="M268" s="8"/>
      <c r="N268" s="8"/>
      <c r="O268" s="8"/>
      <c r="P268" s="8"/>
      <c r="Q268" s="7" t="n">
        <f aca="false">IF(AND($A268=$A267,$B268=$B267),Q267,Q267+1)</f>
        <v>14</v>
      </c>
      <c r="R268" s="0" t="str">
        <f aca="false">IF($A268="","",IFERROR(INDEX(R$5:R267,MATCH($A268,$A$5:$A267,0)),MAX(R$5:R267)+1))</f>
        <v/>
      </c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9" t="str">
        <f aca="false">IF(J269="","",IFERROR(INDEX('JSON del cliente'!$B$5:$B$288,MATCH(J269,'JSON del cliente'!$A$5:$A$288,0)),"no está en el JSON"))</f>
        <v/>
      </c>
      <c r="L269" s="8"/>
      <c r="M269" s="8"/>
      <c r="N269" s="8"/>
      <c r="O269" s="8"/>
      <c r="P269" s="8"/>
      <c r="Q269" s="7" t="n">
        <f aca="false">IF(AND($A269=$A268,$B269=$B268),Q268,Q268+1)</f>
        <v>14</v>
      </c>
      <c r="R269" s="0" t="str">
        <f aca="false">IF($A269="","",IFERROR(INDEX(R$5:R268,MATCH($A269,$A$5:$A268,0)),MAX(R$5:R268)+1))</f>
        <v/>
      </c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9" t="str">
        <f aca="false">IF(J270="","",IFERROR(INDEX('JSON del cliente'!$B$5:$B$288,MATCH(J270,'JSON del cliente'!$A$5:$A$288,0)),"no está en el JSON"))</f>
        <v/>
      </c>
      <c r="L270" s="8"/>
      <c r="M270" s="8"/>
      <c r="N270" s="8"/>
      <c r="O270" s="8"/>
      <c r="P270" s="8"/>
      <c r="Q270" s="7" t="n">
        <f aca="false">IF(AND($A270=$A269,$B270=$B269),Q269,Q269+1)</f>
        <v>14</v>
      </c>
      <c r="R270" s="0" t="str">
        <f aca="false">IF($A270="","",IFERROR(INDEX(R$5:R269,MATCH($A270,$A$5:$A269,0)),MAX(R$5:R269)+1))</f>
        <v/>
      </c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9" t="str">
        <f aca="false">IF(J271="","",IFERROR(INDEX('JSON del cliente'!$B$5:$B$288,MATCH(J271,'JSON del cliente'!$A$5:$A$288,0)),"no está en el JSON"))</f>
        <v/>
      </c>
      <c r="L271" s="8"/>
      <c r="M271" s="8"/>
      <c r="N271" s="8"/>
      <c r="O271" s="8"/>
      <c r="P271" s="8"/>
      <c r="Q271" s="7" t="n">
        <f aca="false">IF(AND($A271=$A270,$B271=$B270),Q270,Q270+1)</f>
        <v>14</v>
      </c>
      <c r="R271" s="0" t="str">
        <f aca="false">IF($A271="","",IFERROR(INDEX(R$5:R270,MATCH($A271,$A$5:$A270,0)),MAX(R$5:R270)+1))</f>
        <v/>
      </c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9" t="str">
        <f aca="false">IF(J272="","",IFERROR(INDEX('JSON del cliente'!$B$5:$B$288,MATCH(J272,'JSON del cliente'!$A$5:$A$288,0)),"no está en el JSON"))</f>
        <v/>
      </c>
      <c r="L272" s="8"/>
      <c r="M272" s="8"/>
      <c r="N272" s="8"/>
      <c r="O272" s="8"/>
      <c r="P272" s="8"/>
      <c r="Q272" s="7" t="n">
        <f aca="false">IF(AND($A272=$A271,$B272=$B271),Q271,Q271+1)</f>
        <v>14</v>
      </c>
      <c r="R272" s="0" t="str">
        <f aca="false">IF($A272="","",IFERROR(INDEX(R$5:R271,MATCH($A272,$A$5:$A271,0)),MAX(R$5:R271)+1))</f>
        <v/>
      </c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9" t="str">
        <f aca="false">IF(J273="","",IFERROR(INDEX('JSON del cliente'!$B$5:$B$288,MATCH(J273,'JSON del cliente'!$A$5:$A$288,0)),"no está en el JSON"))</f>
        <v/>
      </c>
      <c r="L273" s="8"/>
      <c r="M273" s="8"/>
      <c r="N273" s="8"/>
      <c r="O273" s="8"/>
      <c r="P273" s="8"/>
      <c r="Q273" s="7" t="n">
        <f aca="false">IF(AND($A273=$A272,$B273=$B272),Q272,Q272+1)</f>
        <v>14</v>
      </c>
      <c r="R273" s="0" t="str">
        <f aca="false">IF($A273="","",IFERROR(INDEX(R$5:R272,MATCH($A273,$A$5:$A272,0)),MAX(R$5:R272)+1))</f>
        <v/>
      </c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9" t="str">
        <f aca="false">IF(J274="","",IFERROR(INDEX('JSON del cliente'!$B$5:$B$288,MATCH(J274,'JSON del cliente'!$A$5:$A$288,0)),"no está en el JSON"))</f>
        <v/>
      </c>
      <c r="L274" s="8"/>
      <c r="M274" s="8"/>
      <c r="N274" s="8"/>
      <c r="O274" s="8"/>
      <c r="P274" s="8"/>
      <c r="Q274" s="7" t="n">
        <f aca="false">IF(AND($A274=$A273,$B274=$B273),Q273,Q273+1)</f>
        <v>14</v>
      </c>
      <c r="R274" s="0" t="str">
        <f aca="false">IF($A274="","",IFERROR(INDEX(R$5:R273,MATCH($A274,$A$5:$A273,0)),MAX(R$5:R273)+1))</f>
        <v/>
      </c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9" t="str">
        <f aca="false">IF(J275="","",IFERROR(INDEX('JSON del cliente'!$B$5:$B$288,MATCH(J275,'JSON del cliente'!$A$5:$A$288,0)),"no está en el JSON"))</f>
        <v/>
      </c>
      <c r="L275" s="8"/>
      <c r="M275" s="8"/>
      <c r="N275" s="8"/>
      <c r="O275" s="8"/>
      <c r="P275" s="8"/>
      <c r="Q275" s="7" t="n">
        <f aca="false">IF(AND($A275=$A274,$B275=$B274),Q274,Q274+1)</f>
        <v>14</v>
      </c>
      <c r="R275" s="0" t="str">
        <f aca="false">IF($A275="","",IFERROR(INDEX(R$5:R274,MATCH($A275,$A$5:$A274,0)),MAX(R$5:R274)+1))</f>
        <v/>
      </c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9" t="str">
        <f aca="false">IF(J276="","",IFERROR(INDEX('JSON del cliente'!$B$5:$B$288,MATCH(J276,'JSON del cliente'!$A$5:$A$288,0)),"no está en el JSON"))</f>
        <v/>
      </c>
      <c r="L276" s="8"/>
      <c r="M276" s="8"/>
      <c r="N276" s="8"/>
      <c r="O276" s="8"/>
      <c r="P276" s="8"/>
      <c r="Q276" s="7" t="n">
        <f aca="false">IF(AND($A276=$A275,$B276=$B275),Q275,Q275+1)</f>
        <v>14</v>
      </c>
      <c r="R276" s="0" t="str">
        <f aca="false">IF($A276="","",IFERROR(INDEX(R$5:R275,MATCH($A276,$A$5:$A275,0)),MAX(R$5:R275)+1))</f>
        <v/>
      </c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9" t="str">
        <f aca="false">IF(J277="","",IFERROR(INDEX('JSON del cliente'!$B$5:$B$288,MATCH(J277,'JSON del cliente'!$A$5:$A$288,0)),"no está en el JSON"))</f>
        <v/>
      </c>
      <c r="L277" s="8"/>
      <c r="M277" s="8"/>
      <c r="N277" s="8"/>
      <c r="O277" s="8"/>
      <c r="P277" s="8"/>
      <c r="Q277" s="7" t="n">
        <f aca="false">IF(AND($A277=$A276,$B277=$B276),Q276,Q276+1)</f>
        <v>14</v>
      </c>
      <c r="R277" s="0" t="str">
        <f aca="false">IF($A277="","",IFERROR(INDEX(R$5:R276,MATCH($A277,$A$5:$A276,0)),MAX(R$5:R276)+1))</f>
        <v/>
      </c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9" t="str">
        <f aca="false">IF(J278="","",IFERROR(INDEX('JSON del cliente'!$B$5:$B$288,MATCH(J278,'JSON del cliente'!$A$5:$A$288,0)),"no está en el JSON"))</f>
        <v/>
      </c>
      <c r="L278" s="8"/>
      <c r="M278" s="8"/>
      <c r="N278" s="8"/>
      <c r="O278" s="8"/>
      <c r="P278" s="8"/>
      <c r="Q278" s="7" t="n">
        <f aca="false">IF(AND($A278=$A277,$B278=$B277),Q277,Q277+1)</f>
        <v>14</v>
      </c>
      <c r="R278" s="0" t="str">
        <f aca="false">IF($A278="","",IFERROR(INDEX(R$5:R277,MATCH($A278,$A$5:$A277,0)),MAX(R$5:R277)+1))</f>
        <v/>
      </c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9" t="str">
        <f aca="false">IF(J279="","",IFERROR(INDEX('JSON del cliente'!$B$5:$B$288,MATCH(J279,'JSON del cliente'!$A$5:$A$288,0)),"no está en el JSON"))</f>
        <v/>
      </c>
      <c r="L279" s="8"/>
      <c r="M279" s="8"/>
      <c r="N279" s="8"/>
      <c r="O279" s="8"/>
      <c r="P279" s="8"/>
      <c r="Q279" s="7" t="n">
        <f aca="false">IF(AND($A279=$A278,$B279=$B278),Q278,Q278+1)</f>
        <v>14</v>
      </c>
      <c r="R279" s="0" t="str">
        <f aca="false">IF($A279="","",IFERROR(INDEX(R$5:R278,MATCH($A279,$A$5:$A278,0)),MAX(R$5:R278)+1))</f>
        <v/>
      </c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9" t="str">
        <f aca="false">IF(J280="","",IFERROR(INDEX('JSON del cliente'!$B$5:$B$288,MATCH(J280,'JSON del cliente'!$A$5:$A$288,0)),"no está en el JSON"))</f>
        <v/>
      </c>
      <c r="L280" s="8"/>
      <c r="M280" s="8"/>
      <c r="N280" s="8"/>
      <c r="O280" s="8"/>
      <c r="P280" s="8"/>
      <c r="Q280" s="7" t="n">
        <f aca="false">IF(AND($A280=$A279,$B280=$B279),Q279,Q279+1)</f>
        <v>14</v>
      </c>
      <c r="R280" s="0" t="str">
        <f aca="false">IF($A280="","",IFERROR(INDEX(R$5:R279,MATCH($A280,$A$5:$A279,0)),MAX(R$5:R279)+1))</f>
        <v/>
      </c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9" t="str">
        <f aca="false">IF(J281="","",IFERROR(INDEX('JSON del cliente'!$B$5:$B$288,MATCH(J281,'JSON del cliente'!$A$5:$A$288,0)),"no está en el JSON"))</f>
        <v/>
      </c>
      <c r="L281" s="8"/>
      <c r="M281" s="8"/>
      <c r="N281" s="8"/>
      <c r="O281" s="8"/>
      <c r="P281" s="8"/>
      <c r="Q281" s="7" t="n">
        <f aca="false">IF(AND($A281=$A280,$B281=$B280),Q280,Q280+1)</f>
        <v>14</v>
      </c>
      <c r="R281" s="0" t="str">
        <f aca="false">IF($A281="","",IFERROR(INDEX(R$5:R280,MATCH($A281,$A$5:$A280,0)),MAX(R$5:R280)+1))</f>
        <v/>
      </c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9" t="str">
        <f aca="false">IF(J282="","",IFERROR(INDEX('JSON del cliente'!$B$5:$B$288,MATCH(J282,'JSON del cliente'!$A$5:$A$288,0)),"no está en el JSON"))</f>
        <v/>
      </c>
      <c r="L282" s="8"/>
      <c r="M282" s="8"/>
      <c r="N282" s="8"/>
      <c r="O282" s="8"/>
      <c r="P282" s="8"/>
      <c r="Q282" s="7" t="n">
        <f aca="false">IF(AND($A282=$A281,$B282=$B281),Q281,Q281+1)</f>
        <v>14</v>
      </c>
      <c r="R282" s="0" t="str">
        <f aca="false">IF($A282="","",IFERROR(INDEX(R$5:R281,MATCH($A282,$A$5:$A281,0)),MAX(R$5:R281)+1))</f>
        <v/>
      </c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9" t="str">
        <f aca="false">IF(J283="","",IFERROR(INDEX('JSON del cliente'!$B$5:$B$288,MATCH(J283,'JSON del cliente'!$A$5:$A$288,0)),"no está en el JSON"))</f>
        <v/>
      </c>
      <c r="L283" s="8"/>
      <c r="M283" s="8"/>
      <c r="N283" s="8"/>
      <c r="O283" s="8"/>
      <c r="P283" s="8"/>
      <c r="Q283" s="7" t="n">
        <f aca="false">IF(AND($A283=$A282,$B283=$B282),Q282,Q282+1)</f>
        <v>14</v>
      </c>
      <c r="R283" s="0" t="str">
        <f aca="false">IF($A283="","",IFERROR(INDEX(R$5:R282,MATCH($A283,$A$5:$A282,0)),MAX(R$5:R282)+1))</f>
        <v/>
      </c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9" t="str">
        <f aca="false">IF(J284="","",IFERROR(INDEX('JSON del cliente'!$B$5:$B$288,MATCH(J284,'JSON del cliente'!$A$5:$A$288,0)),"no está en el JSON"))</f>
        <v/>
      </c>
      <c r="L284" s="8"/>
      <c r="M284" s="8"/>
      <c r="N284" s="8"/>
      <c r="O284" s="8"/>
      <c r="P284" s="8"/>
      <c r="Q284" s="7" t="n">
        <f aca="false">IF(AND($A284=$A283,$B284=$B283),Q283,Q283+1)</f>
        <v>14</v>
      </c>
      <c r="R284" s="0" t="str">
        <f aca="false">IF($A284="","",IFERROR(INDEX(R$5:R283,MATCH($A284,$A$5:$A283,0)),MAX(R$5:R283)+1))</f>
        <v/>
      </c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9" t="str">
        <f aca="false">IF(J285="","",IFERROR(INDEX('JSON del cliente'!$B$5:$B$288,MATCH(J285,'JSON del cliente'!$A$5:$A$288,0)),"no está en el JSON"))</f>
        <v/>
      </c>
      <c r="L285" s="8"/>
      <c r="M285" s="8"/>
      <c r="N285" s="8"/>
      <c r="O285" s="8"/>
      <c r="P285" s="8"/>
      <c r="Q285" s="7" t="n">
        <f aca="false">IF(AND($A285=$A284,$B285=$B284),Q284,Q284+1)</f>
        <v>14</v>
      </c>
      <c r="R285" s="0" t="str">
        <f aca="false">IF($A285="","",IFERROR(INDEX(R$5:R284,MATCH($A285,$A$5:$A284,0)),MAX(R$5:R284)+1))</f>
        <v/>
      </c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9" t="str">
        <f aca="false">IF(J286="","",IFERROR(INDEX('JSON del cliente'!$B$5:$B$288,MATCH(J286,'JSON del cliente'!$A$5:$A$288,0)),"no está en el JSON"))</f>
        <v/>
      </c>
      <c r="L286" s="8"/>
      <c r="M286" s="8"/>
      <c r="N286" s="8"/>
      <c r="O286" s="8"/>
      <c r="P286" s="8"/>
      <c r="Q286" s="7" t="n">
        <f aca="false">IF(AND($A286=$A285,$B286=$B285),Q285,Q285+1)</f>
        <v>14</v>
      </c>
      <c r="R286" s="0" t="str">
        <f aca="false">IF($A286="","",IFERROR(INDEX(R$5:R285,MATCH($A286,$A$5:$A285,0)),MAX(R$5:R285)+1))</f>
        <v/>
      </c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9" t="str">
        <f aca="false">IF(J287="","",IFERROR(INDEX('JSON del cliente'!$B$5:$B$288,MATCH(J287,'JSON del cliente'!$A$5:$A$288,0)),"no está en el JSON"))</f>
        <v/>
      </c>
      <c r="L287" s="8"/>
      <c r="M287" s="8"/>
      <c r="N287" s="8"/>
      <c r="O287" s="8"/>
      <c r="P287" s="8"/>
      <c r="Q287" s="7" t="n">
        <f aca="false">IF(AND($A287=$A286,$B287=$B286),Q286,Q286+1)</f>
        <v>14</v>
      </c>
      <c r="R287" s="0" t="str">
        <f aca="false">IF($A287="","",IFERROR(INDEX(R$5:R286,MATCH($A287,$A$5:$A286,0)),MAX(R$5:R286)+1))</f>
        <v/>
      </c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9" t="str">
        <f aca="false">IF(J288="","",IFERROR(INDEX('JSON del cliente'!$B$5:$B$288,MATCH(J288,'JSON del cliente'!$A$5:$A$288,0)),"no está en el JSON"))</f>
        <v/>
      </c>
      <c r="L288" s="8"/>
      <c r="M288" s="8"/>
      <c r="N288" s="8"/>
      <c r="O288" s="8"/>
      <c r="P288" s="8"/>
      <c r="Q288" s="7" t="n">
        <f aca="false">IF(AND($A288=$A287,$B288=$B287),Q287,Q287+1)</f>
        <v>14</v>
      </c>
      <c r="R288" s="0" t="str">
        <f aca="false">IF($A288="","",IFERROR(INDEX(R$5:R287,MATCH($A288,$A$5:$A287,0)),MAX(R$5:R287)+1))</f>
        <v/>
      </c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9" t="str">
        <f aca="false">IF(J289="","",IFERROR(INDEX('JSON del cliente'!$B$5:$B$288,MATCH(J289,'JSON del cliente'!$A$5:$A$288,0)),"no está en el JSON"))</f>
        <v/>
      </c>
      <c r="L289" s="8"/>
      <c r="M289" s="8"/>
      <c r="N289" s="8"/>
      <c r="O289" s="8"/>
      <c r="P289" s="8"/>
      <c r="Q289" s="7" t="n">
        <f aca="false">IF(AND($A289=$A288,$B289=$B288),Q288,Q288+1)</f>
        <v>14</v>
      </c>
      <c r="R289" s="0" t="str">
        <f aca="false">IF($A289="","",IFERROR(INDEX(R$5:R288,MATCH($A289,$A$5:$A288,0)),MAX(R$5:R288)+1))</f>
        <v/>
      </c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9" t="str">
        <f aca="false">IF(J290="","",IFERROR(INDEX('JSON del cliente'!$B$5:$B$288,MATCH(J290,'JSON del cliente'!$A$5:$A$288,0)),"no está en el JSON"))</f>
        <v/>
      </c>
      <c r="L290" s="8"/>
      <c r="M290" s="8"/>
      <c r="N290" s="8"/>
      <c r="O290" s="8"/>
      <c r="P290" s="8"/>
      <c r="Q290" s="7" t="n">
        <f aca="false">IF(AND($A290=$A289,$B290=$B289),Q289,Q289+1)</f>
        <v>14</v>
      </c>
      <c r="R290" s="0" t="str">
        <f aca="false">IF($A290="","",IFERROR(INDEX(R$5:R289,MATCH($A290,$A$5:$A289,0)),MAX(R$5:R289)+1))</f>
        <v/>
      </c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9" t="str">
        <f aca="false">IF(J291="","",IFERROR(INDEX('JSON del cliente'!$B$5:$B$288,MATCH(J291,'JSON del cliente'!$A$5:$A$288,0)),"no está en el JSON"))</f>
        <v/>
      </c>
      <c r="L291" s="8"/>
      <c r="M291" s="8"/>
      <c r="N291" s="8"/>
      <c r="O291" s="8"/>
      <c r="P291" s="8"/>
      <c r="Q291" s="7" t="n">
        <f aca="false">IF(AND($A291=$A290,$B291=$B290),Q290,Q290+1)</f>
        <v>14</v>
      </c>
      <c r="R291" s="0" t="str">
        <f aca="false">IF($A291="","",IFERROR(INDEX(R$5:R290,MATCH($A291,$A$5:$A290,0)),MAX(R$5:R290)+1))</f>
        <v/>
      </c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9" t="str">
        <f aca="false">IF(J292="","",IFERROR(INDEX('JSON del cliente'!$B$5:$B$288,MATCH(J292,'JSON del cliente'!$A$5:$A$288,0)),"no está en el JSON"))</f>
        <v/>
      </c>
      <c r="L292" s="8"/>
      <c r="M292" s="8"/>
      <c r="N292" s="8"/>
      <c r="O292" s="8"/>
      <c r="P292" s="8"/>
      <c r="Q292" s="7" t="n">
        <f aca="false">IF(AND($A292=$A291,$B292=$B291),Q291,Q291+1)</f>
        <v>14</v>
      </c>
      <c r="R292" s="0" t="str">
        <f aca="false">IF($A292="","",IFERROR(INDEX(R$5:R291,MATCH($A292,$A$5:$A291,0)),MAX(R$5:R291)+1))</f>
        <v/>
      </c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9" t="str">
        <f aca="false">IF(J293="","",IFERROR(INDEX('JSON del cliente'!$B$5:$B$288,MATCH(J293,'JSON del cliente'!$A$5:$A$288,0)),"no está en el JSON"))</f>
        <v/>
      </c>
      <c r="L293" s="8"/>
      <c r="M293" s="8"/>
      <c r="N293" s="8"/>
      <c r="O293" s="8"/>
      <c r="P293" s="8"/>
      <c r="Q293" s="7" t="n">
        <f aca="false">IF(AND($A293=$A292,$B293=$B292),Q292,Q292+1)</f>
        <v>14</v>
      </c>
      <c r="R293" s="0" t="str">
        <f aca="false">IF($A293="","",IFERROR(INDEX(R$5:R292,MATCH($A293,$A$5:$A292,0)),MAX(R$5:R292)+1))</f>
        <v/>
      </c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9" t="str">
        <f aca="false">IF(J294="","",IFERROR(INDEX('JSON del cliente'!$B$5:$B$288,MATCH(J294,'JSON del cliente'!$A$5:$A$288,0)),"no está en el JSON"))</f>
        <v/>
      </c>
      <c r="L294" s="8"/>
      <c r="M294" s="8"/>
      <c r="N294" s="8"/>
      <c r="O294" s="8"/>
      <c r="P294" s="8"/>
      <c r="Q294" s="7" t="n">
        <f aca="false">IF(AND($A294=$A293,$B294=$B293),Q293,Q293+1)</f>
        <v>14</v>
      </c>
      <c r="R294" s="0" t="str">
        <f aca="false">IF($A294="","",IFERROR(INDEX(R$5:R293,MATCH($A294,$A$5:$A293,0)),MAX(R$5:R293)+1))</f>
        <v/>
      </c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9" t="str">
        <f aca="false">IF(J295="","",IFERROR(INDEX('JSON del cliente'!$B$5:$B$288,MATCH(J295,'JSON del cliente'!$A$5:$A$288,0)),"no está en el JSON"))</f>
        <v/>
      </c>
      <c r="L295" s="8"/>
      <c r="M295" s="8"/>
      <c r="N295" s="8"/>
      <c r="O295" s="8"/>
      <c r="P295" s="8"/>
      <c r="Q295" s="7" t="n">
        <f aca="false">IF(AND($A295=$A294,$B295=$B294),Q294,Q294+1)</f>
        <v>14</v>
      </c>
      <c r="R295" s="0" t="str">
        <f aca="false">IF($A295="","",IFERROR(INDEX(R$5:R294,MATCH($A295,$A$5:$A294,0)),MAX(R$5:R294)+1))</f>
        <v/>
      </c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9" t="str">
        <f aca="false">IF(J296="","",IFERROR(INDEX('JSON del cliente'!$B$5:$B$288,MATCH(J296,'JSON del cliente'!$A$5:$A$288,0)),"no está en el JSON"))</f>
        <v/>
      </c>
      <c r="L296" s="8"/>
      <c r="M296" s="8"/>
      <c r="N296" s="8"/>
      <c r="O296" s="8"/>
      <c r="P296" s="8"/>
      <c r="Q296" s="7" t="n">
        <f aca="false">IF(AND($A296=$A295,$B296=$B295),Q295,Q295+1)</f>
        <v>14</v>
      </c>
      <c r="R296" s="0" t="str">
        <f aca="false">IF($A296="","",IFERROR(INDEX(R$5:R295,MATCH($A296,$A$5:$A295,0)),MAX(R$5:R295)+1))</f>
        <v/>
      </c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9" t="str">
        <f aca="false">IF(J297="","",IFERROR(INDEX('JSON del cliente'!$B$5:$B$288,MATCH(J297,'JSON del cliente'!$A$5:$A$288,0)),"no está en el JSON"))</f>
        <v/>
      </c>
      <c r="L297" s="8"/>
      <c r="M297" s="8"/>
      <c r="N297" s="8"/>
      <c r="O297" s="8"/>
      <c r="P297" s="8"/>
      <c r="Q297" s="7" t="n">
        <f aca="false">IF(AND($A297=$A296,$B297=$B296),Q296,Q296+1)</f>
        <v>14</v>
      </c>
      <c r="R297" s="0" t="str">
        <f aca="false">IF($A297="","",IFERROR(INDEX(R$5:R296,MATCH($A297,$A$5:$A296,0)),MAX(R$5:R296)+1))</f>
        <v/>
      </c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9" t="str">
        <f aca="false">IF(J298="","",IFERROR(INDEX('JSON del cliente'!$B$5:$B$288,MATCH(J298,'JSON del cliente'!$A$5:$A$288,0)),"no está en el JSON"))</f>
        <v/>
      </c>
      <c r="L298" s="8"/>
      <c r="M298" s="8"/>
      <c r="N298" s="8"/>
      <c r="O298" s="8"/>
      <c r="P298" s="8"/>
      <c r="Q298" s="7" t="n">
        <f aca="false">IF(AND($A298=$A297,$B298=$B297),Q297,Q297+1)</f>
        <v>14</v>
      </c>
      <c r="R298" s="0" t="str">
        <f aca="false">IF($A298="","",IFERROR(INDEX(R$5:R297,MATCH($A298,$A$5:$A297,0)),MAX(R$5:R297)+1))</f>
        <v/>
      </c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9" t="str">
        <f aca="false">IF(J299="","",IFERROR(INDEX('JSON del cliente'!$B$5:$B$288,MATCH(J299,'JSON del cliente'!$A$5:$A$288,0)),"no está en el JSON"))</f>
        <v/>
      </c>
      <c r="L299" s="8"/>
      <c r="M299" s="8"/>
      <c r="N299" s="8"/>
      <c r="O299" s="8"/>
      <c r="P299" s="8"/>
      <c r="Q299" s="7" t="n">
        <f aca="false">IF(AND($A299=$A298,$B299=$B298),Q298,Q298+1)</f>
        <v>14</v>
      </c>
      <c r="R299" s="0" t="str">
        <f aca="false">IF($A299="","",IFERROR(INDEX(R$5:R298,MATCH($A299,$A$5:$A298,0)),MAX(R$5:R298)+1))</f>
        <v/>
      </c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9" t="str">
        <f aca="false">IF(J300="","",IFERROR(INDEX('JSON del cliente'!$B$5:$B$288,MATCH(J300,'JSON del cliente'!$A$5:$A$288,0)),"no está en el JSON"))</f>
        <v/>
      </c>
      <c r="L300" s="8"/>
      <c r="M300" s="8"/>
      <c r="N300" s="8"/>
      <c r="O300" s="8"/>
      <c r="P300" s="8"/>
      <c r="Q300" s="7" t="n">
        <f aca="false">IF(AND($A300=$A299,$B300=$B299),Q299,Q299+1)</f>
        <v>14</v>
      </c>
      <c r="R300" s="0" t="str">
        <f aca="false">IF($A300="","",IFERROR(INDEX(R$5:R299,MATCH($A300,$A$5:$A299,0)),MAX(R$5:R299)+1))</f>
        <v/>
      </c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9" t="str">
        <f aca="false">IF(J301="","",IFERROR(INDEX('JSON del cliente'!$B$5:$B$288,MATCH(J301,'JSON del cliente'!$A$5:$A$288,0)),"no está en el JSON"))</f>
        <v/>
      </c>
      <c r="L301" s="8"/>
      <c r="M301" s="8"/>
      <c r="N301" s="8"/>
      <c r="O301" s="8"/>
      <c r="P301" s="8"/>
      <c r="Q301" s="7" t="n">
        <f aca="false">IF(AND($A301=$A300,$B301=$B300),Q300,Q300+1)</f>
        <v>14</v>
      </c>
      <c r="R301" s="0" t="str">
        <f aca="false">IF($A301="","",IFERROR(INDEX(R$5:R300,MATCH($A301,$A$5:$A300,0)),MAX(R$5:R300)+1))</f>
        <v/>
      </c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9" t="str">
        <f aca="false">IF(J302="","",IFERROR(INDEX('JSON del cliente'!$B$5:$B$288,MATCH(J302,'JSON del cliente'!$A$5:$A$288,0)),"no está en el JSON"))</f>
        <v/>
      </c>
      <c r="L302" s="8"/>
      <c r="M302" s="8"/>
      <c r="N302" s="8"/>
      <c r="O302" s="8"/>
      <c r="P302" s="8"/>
      <c r="Q302" s="7" t="n">
        <f aca="false">IF(AND($A302=$A301,$B302=$B301),Q301,Q301+1)</f>
        <v>14</v>
      </c>
      <c r="R302" s="0" t="str">
        <f aca="false">IF($A302="","",IFERROR(INDEX(R$5:R301,MATCH($A302,$A$5:$A301,0)),MAX(R$5:R301)+1))</f>
        <v/>
      </c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9" t="str">
        <f aca="false">IF(J303="","",IFERROR(INDEX('JSON del cliente'!$B$5:$B$288,MATCH(J303,'JSON del cliente'!$A$5:$A$288,0)),"no está en el JSON"))</f>
        <v/>
      </c>
      <c r="L303" s="8"/>
      <c r="M303" s="8"/>
      <c r="N303" s="8"/>
      <c r="O303" s="8"/>
      <c r="P303" s="8"/>
      <c r="Q303" s="7" t="n">
        <f aca="false">IF(AND($A303=$A302,$B303=$B302),Q302,Q302+1)</f>
        <v>14</v>
      </c>
      <c r="R303" s="0" t="str">
        <f aca="false">IF($A303="","",IFERROR(INDEX(R$5:R302,MATCH($A303,$A$5:$A302,0)),MAX(R$5:R302)+1))</f>
        <v/>
      </c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9" t="str">
        <f aca="false">IF(J304="","",IFERROR(INDEX('JSON del cliente'!$B$5:$B$288,MATCH(J304,'JSON del cliente'!$A$5:$A$288,0)),"no está en el JSON"))</f>
        <v/>
      </c>
      <c r="L304" s="8"/>
      <c r="M304" s="8"/>
      <c r="N304" s="8"/>
      <c r="O304" s="8"/>
      <c r="P304" s="8"/>
      <c r="Q304" s="7" t="n">
        <f aca="false">IF(AND($A304=$A303,$B304=$B303),Q303,Q303+1)</f>
        <v>14</v>
      </c>
      <c r="R304" s="0" t="str">
        <f aca="false">IF($A304="","",IFERROR(INDEX(R$5:R303,MATCH($A304,$A$5:$A303,0)),MAX(R$5:R303)+1))</f>
        <v/>
      </c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9" t="str">
        <f aca="false">IF(J305="","",IFERROR(INDEX('JSON del cliente'!$B$5:$B$288,MATCH(J305,'JSON del cliente'!$A$5:$A$288,0)),"no está en el JSON"))</f>
        <v/>
      </c>
      <c r="L305" s="8"/>
      <c r="M305" s="8"/>
      <c r="N305" s="8"/>
      <c r="O305" s="8"/>
      <c r="P305" s="8"/>
      <c r="Q305" s="7" t="n">
        <f aca="false">IF(AND($A305=$A304,$B305=$B304),Q304,Q304+1)</f>
        <v>14</v>
      </c>
      <c r="R305" s="0" t="str">
        <f aca="false">IF($A305="","",IFERROR(INDEX(R$5:R304,MATCH($A305,$A$5:$A304,0)),MAX(R$5:R304)+1))</f>
        <v/>
      </c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9" t="str">
        <f aca="false">IF(J306="","",IFERROR(INDEX('JSON del cliente'!$B$5:$B$288,MATCH(J306,'JSON del cliente'!$A$5:$A$288,0)),"no está en el JSON"))</f>
        <v/>
      </c>
      <c r="L306" s="8"/>
      <c r="M306" s="8"/>
      <c r="N306" s="8"/>
      <c r="O306" s="8"/>
      <c r="P306" s="8"/>
      <c r="Q306" s="7" t="n">
        <f aca="false">IF(AND($A306=$A305,$B306=$B305),Q305,Q305+1)</f>
        <v>14</v>
      </c>
      <c r="R306" s="0" t="str">
        <f aca="false">IF($A306="","",IFERROR(INDEX(R$5:R305,MATCH($A306,$A$5:$A305,0)),MAX(R$5:R305)+1))</f>
        <v/>
      </c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9" t="str">
        <f aca="false">IF(J307="","",IFERROR(INDEX('JSON del cliente'!$B$5:$B$288,MATCH(J307,'JSON del cliente'!$A$5:$A$288,0)),"no está en el JSON"))</f>
        <v/>
      </c>
      <c r="L307" s="8"/>
      <c r="M307" s="8"/>
      <c r="N307" s="8"/>
      <c r="O307" s="8"/>
      <c r="P307" s="8"/>
      <c r="Q307" s="7" t="n">
        <f aca="false">IF(AND($A307=$A306,$B307=$B306),Q306,Q306+1)</f>
        <v>14</v>
      </c>
      <c r="R307" s="0" t="str">
        <f aca="false">IF($A307="","",IFERROR(INDEX(R$5:R306,MATCH($A307,$A$5:$A306,0)),MAX(R$5:R306)+1))</f>
        <v/>
      </c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9" t="str">
        <f aca="false">IF(J308="","",IFERROR(INDEX('JSON del cliente'!$B$5:$B$288,MATCH(J308,'JSON del cliente'!$A$5:$A$288,0)),"no está en el JSON"))</f>
        <v/>
      </c>
      <c r="L308" s="8"/>
      <c r="M308" s="8"/>
      <c r="N308" s="8"/>
      <c r="O308" s="8"/>
      <c r="P308" s="8"/>
      <c r="Q308" s="7" t="n">
        <f aca="false">IF(AND($A308=$A307,$B308=$B307),Q307,Q307+1)</f>
        <v>14</v>
      </c>
      <c r="R308" s="0" t="str">
        <f aca="false">IF($A308="","",IFERROR(INDEX(R$5:R307,MATCH($A308,$A$5:$A307,0)),MAX(R$5:R307)+1))</f>
        <v/>
      </c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9" t="str">
        <f aca="false">IF(J309="","",IFERROR(INDEX('JSON del cliente'!$B$5:$B$288,MATCH(J309,'JSON del cliente'!$A$5:$A$288,0)),"no está en el JSON"))</f>
        <v/>
      </c>
      <c r="L309" s="8"/>
      <c r="M309" s="8"/>
      <c r="N309" s="8"/>
      <c r="O309" s="8"/>
      <c r="P309" s="8"/>
      <c r="Q309" s="7" t="n">
        <f aca="false">IF(AND($A309=$A308,$B309=$B308),Q308,Q308+1)</f>
        <v>14</v>
      </c>
      <c r="R309" s="0" t="str">
        <f aca="false">IF($A309="","",IFERROR(INDEX(R$5:R308,MATCH($A309,$A$5:$A308,0)),MAX(R$5:R308)+1))</f>
        <v/>
      </c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9" t="str">
        <f aca="false">IF(J310="","",IFERROR(INDEX('JSON del cliente'!$B$5:$B$288,MATCH(J310,'JSON del cliente'!$A$5:$A$288,0)),"no está en el JSON"))</f>
        <v/>
      </c>
      <c r="L310" s="8"/>
      <c r="M310" s="8"/>
      <c r="N310" s="8"/>
      <c r="O310" s="8"/>
      <c r="P310" s="8"/>
      <c r="Q310" s="7" t="n">
        <f aca="false">IF(AND($A310=$A309,$B310=$B309),Q309,Q309+1)</f>
        <v>14</v>
      </c>
      <c r="R310" s="0" t="str">
        <f aca="false">IF($A310="","",IFERROR(INDEX(R$5:R309,MATCH($A310,$A$5:$A309,0)),MAX(R$5:R309)+1))</f>
        <v/>
      </c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9" t="str">
        <f aca="false">IF(J311="","",IFERROR(INDEX('JSON del cliente'!$B$5:$B$288,MATCH(J311,'JSON del cliente'!$A$5:$A$288,0)),"no está en el JSON"))</f>
        <v/>
      </c>
      <c r="L311" s="8"/>
      <c r="M311" s="8"/>
      <c r="N311" s="8"/>
      <c r="O311" s="8"/>
      <c r="P311" s="8"/>
      <c r="Q311" s="7" t="n">
        <f aca="false">IF(AND($A311=$A310,$B311=$B310),Q310,Q310+1)</f>
        <v>14</v>
      </c>
      <c r="R311" s="0" t="str">
        <f aca="false">IF($A311="","",IFERROR(INDEX(R$5:R310,MATCH($A311,$A$5:$A310,0)),MAX(R$5:R310)+1))</f>
        <v/>
      </c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9" t="str">
        <f aca="false">IF(J312="","",IFERROR(INDEX('JSON del cliente'!$B$5:$B$288,MATCH(J312,'JSON del cliente'!$A$5:$A$288,0)),"no está en el JSON"))</f>
        <v/>
      </c>
      <c r="L312" s="8"/>
      <c r="M312" s="8"/>
      <c r="N312" s="8"/>
      <c r="O312" s="8"/>
      <c r="P312" s="8"/>
      <c r="Q312" s="7" t="n">
        <f aca="false">IF(AND($A312=$A311,$B312=$B311),Q311,Q311+1)</f>
        <v>14</v>
      </c>
      <c r="R312" s="0" t="str">
        <f aca="false">IF($A312="","",IFERROR(INDEX(R$5:R311,MATCH($A312,$A$5:$A311,0)),MAX(R$5:R311)+1))</f>
        <v/>
      </c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9" t="str">
        <f aca="false">IF(J313="","",IFERROR(INDEX('JSON del cliente'!$B$5:$B$288,MATCH(J313,'JSON del cliente'!$A$5:$A$288,0)),"no está en el JSON"))</f>
        <v/>
      </c>
      <c r="L313" s="8"/>
      <c r="M313" s="8"/>
      <c r="N313" s="8"/>
      <c r="O313" s="8"/>
      <c r="P313" s="8"/>
      <c r="Q313" s="7" t="n">
        <f aca="false">IF(AND($A313=$A312,$B313=$B312),Q312,Q312+1)</f>
        <v>14</v>
      </c>
      <c r="R313" s="0" t="str">
        <f aca="false">IF($A313="","",IFERROR(INDEX(R$5:R312,MATCH($A313,$A$5:$A312,0)),MAX(R$5:R312)+1))</f>
        <v/>
      </c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9" t="str">
        <f aca="false">IF(J314="","",IFERROR(INDEX('JSON del cliente'!$B$5:$B$288,MATCH(J314,'JSON del cliente'!$A$5:$A$288,0)),"no está en el JSON"))</f>
        <v/>
      </c>
      <c r="L314" s="8"/>
      <c r="M314" s="8"/>
      <c r="N314" s="8"/>
      <c r="O314" s="8"/>
      <c r="P314" s="8"/>
      <c r="Q314" s="7" t="n">
        <f aca="false">IF(AND($A314=$A313,$B314=$B313),Q313,Q313+1)</f>
        <v>14</v>
      </c>
      <c r="R314" s="0" t="str">
        <f aca="false">IF($A314="","",IFERROR(INDEX(R$5:R313,MATCH($A314,$A$5:$A313,0)),MAX(R$5:R313)+1))</f>
        <v/>
      </c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9" t="str">
        <f aca="false">IF(J315="","",IFERROR(INDEX('JSON del cliente'!$B$5:$B$288,MATCH(J315,'JSON del cliente'!$A$5:$A$288,0)),"no está en el JSON"))</f>
        <v/>
      </c>
      <c r="L315" s="8"/>
      <c r="M315" s="8"/>
      <c r="N315" s="8"/>
      <c r="O315" s="8"/>
      <c r="P315" s="8"/>
      <c r="Q315" s="7" t="n">
        <f aca="false">IF(AND($A315=$A314,$B315=$B314),Q314,Q314+1)</f>
        <v>14</v>
      </c>
      <c r="R315" s="0" t="str">
        <f aca="false">IF($A315="","",IFERROR(INDEX(R$5:R314,MATCH($A315,$A$5:$A314,0)),MAX(R$5:R314)+1))</f>
        <v/>
      </c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9" t="str">
        <f aca="false">IF(J316="","",IFERROR(INDEX('JSON del cliente'!$B$5:$B$288,MATCH(J316,'JSON del cliente'!$A$5:$A$288,0)),"no está en el JSON"))</f>
        <v/>
      </c>
      <c r="L316" s="8"/>
      <c r="M316" s="8"/>
      <c r="N316" s="8"/>
      <c r="O316" s="8"/>
      <c r="P316" s="8"/>
      <c r="Q316" s="7" t="n">
        <f aca="false">IF(AND($A316=$A315,$B316=$B315),Q315,Q315+1)</f>
        <v>14</v>
      </c>
      <c r="R316" s="0" t="str">
        <f aca="false">IF($A316="","",IFERROR(INDEX(R$5:R315,MATCH($A316,$A$5:$A315,0)),MAX(R$5:R315)+1))</f>
        <v/>
      </c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9" t="str">
        <f aca="false">IF(J317="","",IFERROR(INDEX('JSON del cliente'!$B$5:$B$288,MATCH(J317,'JSON del cliente'!$A$5:$A$288,0)),"no está en el JSON"))</f>
        <v/>
      </c>
      <c r="L317" s="8"/>
      <c r="M317" s="8"/>
      <c r="N317" s="8"/>
      <c r="O317" s="8"/>
      <c r="P317" s="8"/>
      <c r="Q317" s="7" t="n">
        <f aca="false">IF(AND($A317=$A316,$B317=$B316),Q316,Q316+1)</f>
        <v>14</v>
      </c>
      <c r="R317" s="0" t="str">
        <f aca="false">IF($A317="","",IFERROR(INDEX(R$5:R316,MATCH($A317,$A$5:$A316,0)),MAX(R$5:R316)+1))</f>
        <v/>
      </c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9" t="str">
        <f aca="false">IF(J318="","",IFERROR(INDEX('JSON del cliente'!$B$5:$B$288,MATCH(J318,'JSON del cliente'!$A$5:$A$288,0)),"no está en el JSON"))</f>
        <v/>
      </c>
      <c r="L318" s="8"/>
      <c r="M318" s="8"/>
      <c r="N318" s="8"/>
      <c r="O318" s="8"/>
      <c r="P318" s="8"/>
      <c r="Q318" s="7" t="n">
        <f aca="false">IF(AND($A318=$A317,$B318=$B317),Q317,Q317+1)</f>
        <v>14</v>
      </c>
      <c r="R318" s="0" t="str">
        <f aca="false">IF($A318="","",IFERROR(INDEX(R$5:R317,MATCH($A318,$A$5:$A317,0)),MAX(R$5:R317)+1))</f>
        <v/>
      </c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9" t="str">
        <f aca="false">IF(J319="","",IFERROR(INDEX('JSON del cliente'!$B$5:$B$288,MATCH(J319,'JSON del cliente'!$A$5:$A$288,0)),"no está en el JSON"))</f>
        <v/>
      </c>
      <c r="L319" s="8"/>
      <c r="M319" s="8"/>
      <c r="N319" s="8"/>
      <c r="O319" s="8"/>
      <c r="P319" s="8"/>
      <c r="Q319" s="7" t="n">
        <f aca="false">IF(AND($A319=$A318,$B319=$B318),Q318,Q318+1)</f>
        <v>14</v>
      </c>
      <c r="R319" s="0" t="str">
        <f aca="false">IF($A319="","",IFERROR(INDEX(R$5:R318,MATCH($A319,$A$5:$A318,0)),MAX(R$5:R318)+1))</f>
        <v/>
      </c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9" t="str">
        <f aca="false">IF(J320="","",IFERROR(INDEX('JSON del cliente'!$B$5:$B$288,MATCH(J320,'JSON del cliente'!$A$5:$A$288,0)),"no está en el JSON"))</f>
        <v/>
      </c>
      <c r="L320" s="8"/>
      <c r="M320" s="8"/>
      <c r="N320" s="8"/>
      <c r="O320" s="8"/>
      <c r="P320" s="8"/>
      <c r="Q320" s="7" t="n">
        <f aca="false">IF(AND($A320=$A319,$B320=$B319),Q319,Q319+1)</f>
        <v>14</v>
      </c>
      <c r="R320" s="0" t="str">
        <f aca="false">IF($A320="","",IFERROR(INDEX(R$5:R319,MATCH($A320,$A$5:$A319,0)),MAX(R$5:R319)+1))</f>
        <v/>
      </c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9" t="str">
        <f aca="false">IF(J321="","",IFERROR(INDEX('JSON del cliente'!$B$5:$B$288,MATCH(J321,'JSON del cliente'!$A$5:$A$288,0)),"no está en el JSON"))</f>
        <v/>
      </c>
      <c r="L321" s="8"/>
      <c r="M321" s="8"/>
      <c r="N321" s="8"/>
      <c r="O321" s="8"/>
      <c r="P321" s="8"/>
      <c r="Q321" s="7" t="n">
        <f aca="false">IF(AND($A321=$A320,$B321=$B320),Q320,Q320+1)</f>
        <v>14</v>
      </c>
      <c r="R321" s="0" t="str">
        <f aca="false">IF($A321="","",IFERROR(INDEX(R$5:R320,MATCH($A321,$A$5:$A320,0)),MAX(R$5:R320)+1))</f>
        <v/>
      </c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9" t="str">
        <f aca="false">IF(J322="","",IFERROR(INDEX('JSON del cliente'!$B$5:$B$288,MATCH(J322,'JSON del cliente'!$A$5:$A$288,0)),"no está en el JSON"))</f>
        <v/>
      </c>
      <c r="L322" s="8"/>
      <c r="M322" s="8"/>
      <c r="N322" s="8"/>
      <c r="O322" s="8"/>
      <c r="P322" s="8"/>
      <c r="Q322" s="7" t="n">
        <f aca="false">IF(AND($A322=$A321,$B322=$B321),Q321,Q321+1)</f>
        <v>14</v>
      </c>
      <c r="R322" s="0" t="str">
        <f aca="false">IF($A322="","",IFERROR(INDEX(R$5:R321,MATCH($A322,$A$5:$A321,0)),MAX(R$5:R321)+1))</f>
        <v/>
      </c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9" t="str">
        <f aca="false">IF(J323="","",IFERROR(INDEX('JSON del cliente'!$B$5:$B$288,MATCH(J323,'JSON del cliente'!$A$5:$A$288,0)),"no está en el JSON"))</f>
        <v/>
      </c>
      <c r="L323" s="8"/>
      <c r="M323" s="8"/>
      <c r="N323" s="8"/>
      <c r="O323" s="8"/>
      <c r="P323" s="8"/>
      <c r="Q323" s="7" t="n">
        <f aca="false">IF(AND($A323=$A322,$B323=$B322),Q322,Q322+1)</f>
        <v>14</v>
      </c>
      <c r="R323" s="0" t="str">
        <f aca="false">IF($A323="","",IFERROR(INDEX(R$5:R322,MATCH($A323,$A$5:$A322,0)),MAX(R$5:R322)+1))</f>
        <v/>
      </c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9" t="str">
        <f aca="false">IF(J324="","",IFERROR(INDEX('JSON del cliente'!$B$5:$B$288,MATCH(J324,'JSON del cliente'!$A$5:$A$288,0)),"no está en el JSON"))</f>
        <v/>
      </c>
      <c r="L324" s="8"/>
      <c r="M324" s="8"/>
      <c r="N324" s="8"/>
      <c r="O324" s="8"/>
      <c r="P324" s="8"/>
      <c r="Q324" s="7" t="n">
        <f aca="false">IF(AND($A324=$A323,$B324=$B323),Q323,Q323+1)</f>
        <v>14</v>
      </c>
      <c r="R324" s="0" t="str">
        <f aca="false">IF($A324="","",IFERROR(INDEX(R$5:R323,MATCH($A324,$A$5:$A323,0)),MAX(R$5:R323)+1))</f>
        <v/>
      </c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9" t="str">
        <f aca="false">IF(J325="","",IFERROR(INDEX('JSON del cliente'!$B$5:$B$288,MATCH(J325,'JSON del cliente'!$A$5:$A$288,0)),"no está en el JSON"))</f>
        <v/>
      </c>
      <c r="L325" s="8"/>
      <c r="M325" s="8"/>
      <c r="N325" s="8"/>
      <c r="O325" s="8"/>
      <c r="P325" s="8"/>
      <c r="Q325" s="7" t="n">
        <f aca="false">IF(AND($A325=$A324,$B325=$B324),Q324,Q324+1)</f>
        <v>14</v>
      </c>
      <c r="R325" s="0" t="str">
        <f aca="false">IF($A325="","",IFERROR(INDEX(R$5:R324,MATCH($A325,$A$5:$A324,0)),MAX(R$5:R324)+1))</f>
        <v/>
      </c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9" t="str">
        <f aca="false">IF(J326="","",IFERROR(INDEX('JSON del cliente'!$B$5:$B$288,MATCH(J326,'JSON del cliente'!$A$5:$A$288,0)),"no está en el JSON"))</f>
        <v/>
      </c>
      <c r="L326" s="8"/>
      <c r="M326" s="8"/>
      <c r="N326" s="8"/>
      <c r="O326" s="8"/>
      <c r="P326" s="8"/>
      <c r="Q326" s="7" t="n">
        <f aca="false">IF(AND($A326=$A325,$B326=$B325),Q325,Q325+1)</f>
        <v>14</v>
      </c>
      <c r="R326" s="0" t="str">
        <f aca="false">IF($A326="","",IFERROR(INDEX(R$5:R325,MATCH($A326,$A$5:$A325,0)),MAX(R$5:R325)+1))</f>
        <v/>
      </c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9" t="str">
        <f aca="false">IF(J327="","",IFERROR(INDEX('JSON del cliente'!$B$5:$B$288,MATCH(J327,'JSON del cliente'!$A$5:$A$288,0)),"no está en el JSON"))</f>
        <v/>
      </c>
      <c r="L327" s="8"/>
      <c r="M327" s="8"/>
      <c r="N327" s="8"/>
      <c r="O327" s="8"/>
      <c r="P327" s="8"/>
      <c r="Q327" s="7" t="n">
        <f aca="false">IF(AND($A327=$A326,$B327=$B326),Q326,Q326+1)</f>
        <v>14</v>
      </c>
      <c r="R327" s="0" t="str">
        <f aca="false">IF($A327="","",IFERROR(INDEX(R$5:R326,MATCH($A327,$A$5:$A326,0)),MAX(R$5:R326)+1))</f>
        <v/>
      </c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9" t="str">
        <f aca="false">IF(J328="","",IFERROR(INDEX('JSON del cliente'!$B$5:$B$288,MATCH(J328,'JSON del cliente'!$A$5:$A$288,0)),"no está en el JSON"))</f>
        <v/>
      </c>
      <c r="L328" s="8"/>
      <c r="M328" s="8"/>
      <c r="N328" s="8"/>
      <c r="O328" s="8"/>
      <c r="P328" s="8"/>
      <c r="Q328" s="7" t="n">
        <f aca="false">IF(AND($A328=$A327,$B328=$B327),Q327,Q327+1)</f>
        <v>14</v>
      </c>
      <c r="R328" s="0" t="str">
        <f aca="false">IF($A328="","",IFERROR(INDEX(R$5:R327,MATCH($A328,$A$5:$A327,0)),MAX(R$5:R327)+1))</f>
        <v/>
      </c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9" t="str">
        <f aca="false">IF(J329="","",IFERROR(INDEX('JSON del cliente'!$B$5:$B$288,MATCH(J329,'JSON del cliente'!$A$5:$A$288,0)),"no está en el JSON"))</f>
        <v/>
      </c>
      <c r="L329" s="8"/>
      <c r="M329" s="8"/>
      <c r="N329" s="8"/>
      <c r="O329" s="8"/>
      <c r="P329" s="8"/>
      <c r="Q329" s="7" t="n">
        <f aca="false">IF(AND($A329=$A328,$B329=$B328),Q328,Q328+1)</f>
        <v>14</v>
      </c>
      <c r="R329" s="0" t="str">
        <f aca="false">IF($A329="","",IFERROR(INDEX(R$5:R328,MATCH($A329,$A$5:$A328,0)),MAX(R$5:R328)+1))</f>
        <v/>
      </c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9" t="str">
        <f aca="false">IF(J330="","",IFERROR(INDEX('JSON del cliente'!$B$5:$B$288,MATCH(J330,'JSON del cliente'!$A$5:$A$288,0)),"no está en el JSON"))</f>
        <v/>
      </c>
      <c r="L330" s="8"/>
      <c r="M330" s="8"/>
      <c r="N330" s="8"/>
      <c r="O330" s="8"/>
      <c r="P330" s="8"/>
      <c r="Q330" s="7" t="n">
        <f aca="false">IF(AND($A330=$A329,$B330=$B329),Q329,Q329+1)</f>
        <v>14</v>
      </c>
      <c r="R330" s="0" t="str">
        <f aca="false">IF($A330="","",IFERROR(INDEX(R$5:R329,MATCH($A330,$A$5:$A329,0)),MAX(R$5:R329)+1))</f>
        <v/>
      </c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9" t="str">
        <f aca="false">IF(J331="","",IFERROR(INDEX('JSON del cliente'!$B$5:$B$288,MATCH(J331,'JSON del cliente'!$A$5:$A$288,0)),"no está en el JSON"))</f>
        <v/>
      </c>
      <c r="L331" s="8"/>
      <c r="M331" s="8"/>
      <c r="N331" s="8"/>
      <c r="O331" s="8"/>
      <c r="P331" s="8"/>
      <c r="Q331" s="7" t="n">
        <f aca="false">IF(AND($A331=$A330,$B331=$B330),Q330,Q330+1)</f>
        <v>14</v>
      </c>
      <c r="R331" s="0" t="str">
        <f aca="false">IF($A331="","",IFERROR(INDEX(R$5:R330,MATCH($A331,$A$5:$A330,0)),MAX(R$5:R330)+1))</f>
        <v/>
      </c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9" t="str">
        <f aca="false">IF(J332="","",IFERROR(INDEX('JSON del cliente'!$B$5:$B$288,MATCH(J332,'JSON del cliente'!$A$5:$A$288,0)),"no está en el JSON"))</f>
        <v/>
      </c>
      <c r="L332" s="8"/>
      <c r="M332" s="8"/>
      <c r="N332" s="8"/>
      <c r="O332" s="8"/>
      <c r="P332" s="8"/>
      <c r="Q332" s="7" t="n">
        <f aca="false">IF(AND($A332=$A331,$B332=$B331),Q331,Q331+1)</f>
        <v>14</v>
      </c>
      <c r="R332" s="0" t="str">
        <f aca="false">IF($A332="","",IFERROR(INDEX(R$5:R331,MATCH($A332,$A$5:$A331,0)),MAX(R$5:R331)+1))</f>
        <v/>
      </c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9" t="str">
        <f aca="false">IF(J333="","",IFERROR(INDEX('JSON del cliente'!$B$5:$B$288,MATCH(J333,'JSON del cliente'!$A$5:$A$288,0)),"no está en el JSON"))</f>
        <v/>
      </c>
      <c r="L333" s="8"/>
      <c r="M333" s="8"/>
      <c r="N333" s="8"/>
      <c r="O333" s="8"/>
      <c r="P333" s="8"/>
      <c r="Q333" s="7" t="n">
        <f aca="false">IF(AND($A333=$A332,$B333=$B332),Q332,Q332+1)</f>
        <v>14</v>
      </c>
      <c r="R333" s="0" t="str">
        <f aca="false">IF($A333="","",IFERROR(INDEX(R$5:R332,MATCH($A333,$A$5:$A332,0)),MAX(R$5:R332)+1))</f>
        <v/>
      </c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9" t="str">
        <f aca="false">IF(J334="","",IFERROR(INDEX('JSON del cliente'!$B$5:$B$288,MATCH(J334,'JSON del cliente'!$A$5:$A$288,0)),"no está en el JSON"))</f>
        <v/>
      </c>
      <c r="L334" s="8"/>
      <c r="M334" s="8"/>
      <c r="N334" s="8"/>
      <c r="O334" s="8"/>
      <c r="P334" s="8"/>
      <c r="Q334" s="7" t="n">
        <f aca="false">IF(AND($A334=$A333,$B334=$B333),Q333,Q333+1)</f>
        <v>14</v>
      </c>
      <c r="R334" s="0" t="str">
        <f aca="false">IF($A334="","",IFERROR(INDEX(R$5:R333,MATCH($A334,$A$5:$A333,0)),MAX(R$5:R333)+1))</f>
        <v/>
      </c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9" t="str">
        <f aca="false">IF(J335="","",IFERROR(INDEX('JSON del cliente'!$B$5:$B$288,MATCH(J335,'JSON del cliente'!$A$5:$A$288,0)),"no está en el JSON"))</f>
        <v/>
      </c>
      <c r="L335" s="8"/>
      <c r="M335" s="8"/>
      <c r="N335" s="8"/>
      <c r="O335" s="8"/>
      <c r="P335" s="8"/>
      <c r="Q335" s="7" t="n">
        <f aca="false">IF(AND($A335=$A334,$B335=$B334),Q334,Q334+1)</f>
        <v>14</v>
      </c>
      <c r="R335" s="0" t="str">
        <f aca="false">IF($A335="","",IFERROR(INDEX(R$5:R334,MATCH($A335,$A$5:$A334,0)),MAX(R$5:R334)+1))</f>
        <v/>
      </c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9" t="str">
        <f aca="false">IF(J336="","",IFERROR(INDEX('JSON del cliente'!$B$5:$B$288,MATCH(J336,'JSON del cliente'!$A$5:$A$288,0)),"no está en el JSON"))</f>
        <v/>
      </c>
      <c r="L336" s="8"/>
      <c r="M336" s="8"/>
      <c r="N336" s="8"/>
      <c r="O336" s="8"/>
      <c r="P336" s="8"/>
      <c r="Q336" s="7" t="n">
        <f aca="false">IF(AND($A336=$A335,$B336=$B335),Q335,Q335+1)</f>
        <v>14</v>
      </c>
      <c r="R336" s="0" t="str">
        <f aca="false">IF($A336="","",IFERROR(INDEX(R$5:R335,MATCH($A336,$A$5:$A335,0)),MAX(R$5:R335)+1))</f>
        <v/>
      </c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9" t="str">
        <f aca="false">IF(J337="","",IFERROR(INDEX('JSON del cliente'!$B$5:$B$288,MATCH(J337,'JSON del cliente'!$A$5:$A$288,0)),"no está en el JSON"))</f>
        <v/>
      </c>
      <c r="L337" s="8"/>
      <c r="M337" s="8"/>
      <c r="N337" s="8"/>
      <c r="O337" s="8"/>
      <c r="P337" s="8"/>
      <c r="Q337" s="7" t="n">
        <f aca="false">IF(AND($A337=$A336,$B337=$B336),Q336,Q336+1)</f>
        <v>14</v>
      </c>
      <c r="R337" s="0" t="str">
        <f aca="false">IF($A337="","",IFERROR(INDEX(R$5:R336,MATCH($A337,$A$5:$A336,0)),MAX(R$5:R336)+1))</f>
        <v/>
      </c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9" t="str">
        <f aca="false">IF(J338="","",IFERROR(INDEX('JSON del cliente'!$B$5:$B$288,MATCH(J338,'JSON del cliente'!$A$5:$A$288,0)),"no está en el JSON"))</f>
        <v/>
      </c>
      <c r="L338" s="8"/>
      <c r="M338" s="8"/>
      <c r="N338" s="8"/>
      <c r="O338" s="8"/>
      <c r="P338" s="8"/>
      <c r="Q338" s="7" t="n">
        <f aca="false">IF(AND($A338=$A337,$B338=$B337),Q337,Q337+1)</f>
        <v>14</v>
      </c>
      <c r="R338" s="0" t="str">
        <f aca="false">IF($A338="","",IFERROR(INDEX(R$5:R337,MATCH($A338,$A$5:$A337,0)),MAX(R$5:R337)+1))</f>
        <v/>
      </c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9" t="str">
        <f aca="false">IF(J339="","",IFERROR(INDEX('JSON del cliente'!$B$5:$B$288,MATCH(J339,'JSON del cliente'!$A$5:$A$288,0)),"no está en el JSON"))</f>
        <v/>
      </c>
      <c r="L339" s="8"/>
      <c r="M339" s="8"/>
      <c r="N339" s="8"/>
      <c r="O339" s="8"/>
      <c r="P339" s="8"/>
      <c r="Q339" s="7" t="n">
        <f aca="false">IF(AND($A339=$A338,$B339=$B338),Q338,Q338+1)</f>
        <v>14</v>
      </c>
      <c r="R339" s="0" t="str">
        <f aca="false">IF($A339="","",IFERROR(INDEX(R$5:R338,MATCH($A339,$A$5:$A338,0)),MAX(R$5:R338)+1))</f>
        <v/>
      </c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9" t="str">
        <f aca="false">IF(J340="","",IFERROR(INDEX('JSON del cliente'!$B$5:$B$288,MATCH(J340,'JSON del cliente'!$A$5:$A$288,0)),"no está en el JSON"))</f>
        <v/>
      </c>
      <c r="L340" s="8"/>
      <c r="M340" s="8"/>
      <c r="N340" s="8"/>
      <c r="O340" s="8"/>
      <c r="P340" s="8"/>
      <c r="Q340" s="7" t="n">
        <f aca="false">IF(AND($A340=$A339,$B340=$B339),Q339,Q339+1)</f>
        <v>14</v>
      </c>
      <c r="R340" s="0" t="str">
        <f aca="false">IF($A340="","",IFERROR(INDEX(R$5:R339,MATCH($A340,$A$5:$A339,0)),MAX(R$5:R339)+1))</f>
        <v/>
      </c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9" t="str">
        <f aca="false">IF(J341="","",IFERROR(INDEX('JSON del cliente'!$B$5:$B$288,MATCH(J341,'JSON del cliente'!$A$5:$A$288,0)),"no está en el JSON"))</f>
        <v/>
      </c>
      <c r="L341" s="8"/>
      <c r="M341" s="8"/>
      <c r="N341" s="8"/>
      <c r="O341" s="8"/>
      <c r="P341" s="8"/>
      <c r="Q341" s="7" t="n">
        <f aca="false">IF(AND($A341=$A340,$B341=$B340),Q340,Q340+1)</f>
        <v>14</v>
      </c>
      <c r="R341" s="0" t="str">
        <f aca="false">IF($A341="","",IFERROR(INDEX(R$5:R340,MATCH($A341,$A$5:$A340,0)),MAX(R$5:R340)+1))</f>
        <v/>
      </c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9" t="str">
        <f aca="false">IF(J342="","",IFERROR(INDEX('JSON del cliente'!$B$5:$B$288,MATCH(J342,'JSON del cliente'!$A$5:$A$288,0)),"no está en el JSON"))</f>
        <v/>
      </c>
      <c r="L342" s="8"/>
      <c r="M342" s="8"/>
      <c r="N342" s="8"/>
      <c r="O342" s="8"/>
      <c r="P342" s="8"/>
      <c r="Q342" s="7" t="n">
        <f aca="false">IF(AND($A342=$A341,$B342=$B341),Q341,Q341+1)</f>
        <v>14</v>
      </c>
      <c r="R342" s="0" t="str">
        <f aca="false">IF($A342="","",IFERROR(INDEX(R$5:R341,MATCH($A342,$A$5:$A341,0)),MAX(R$5:R341)+1))</f>
        <v/>
      </c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9" t="str">
        <f aca="false">IF(J343="","",IFERROR(INDEX('JSON del cliente'!$B$5:$B$288,MATCH(J343,'JSON del cliente'!$A$5:$A$288,0)),"no está en el JSON"))</f>
        <v/>
      </c>
      <c r="L343" s="8"/>
      <c r="M343" s="8"/>
      <c r="N343" s="8"/>
      <c r="O343" s="8"/>
      <c r="P343" s="8"/>
      <c r="Q343" s="7" t="n">
        <f aca="false">IF(AND($A343=$A342,$B343=$B342),Q342,Q342+1)</f>
        <v>14</v>
      </c>
      <c r="R343" s="0" t="str">
        <f aca="false">IF($A343="","",IFERROR(INDEX(R$5:R342,MATCH($A343,$A$5:$A342,0)),MAX(R$5:R342)+1))</f>
        <v/>
      </c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9" t="str">
        <f aca="false">IF(J344="","",IFERROR(INDEX('JSON del cliente'!$B$5:$B$288,MATCH(J344,'JSON del cliente'!$A$5:$A$288,0)),"no está en el JSON"))</f>
        <v/>
      </c>
      <c r="L344" s="8"/>
      <c r="M344" s="8"/>
      <c r="N344" s="8"/>
      <c r="O344" s="8"/>
      <c r="P344" s="8"/>
      <c r="Q344" s="7" t="n">
        <f aca="false">IF(AND($A344=$A343,$B344=$B343),Q343,Q343+1)</f>
        <v>14</v>
      </c>
      <c r="R344" s="0" t="str">
        <f aca="false">IF($A344="","",IFERROR(INDEX(R$5:R343,MATCH($A344,$A$5:$A343,0)),MAX(R$5:R343)+1))</f>
        <v/>
      </c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9" t="str">
        <f aca="false">IF(J345="","",IFERROR(INDEX('JSON del cliente'!$B$5:$B$288,MATCH(J345,'JSON del cliente'!$A$5:$A$288,0)),"no está en el JSON"))</f>
        <v/>
      </c>
      <c r="L345" s="8"/>
      <c r="M345" s="8"/>
      <c r="N345" s="8"/>
      <c r="O345" s="8"/>
      <c r="P345" s="8"/>
      <c r="Q345" s="7" t="n">
        <f aca="false">IF(AND($A345=$A344,$B345=$B344),Q344,Q344+1)</f>
        <v>14</v>
      </c>
      <c r="R345" s="0" t="str">
        <f aca="false">IF($A345="","",IFERROR(INDEX(R$5:R344,MATCH($A345,$A$5:$A344,0)),MAX(R$5:R344)+1))</f>
        <v/>
      </c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9" t="str">
        <f aca="false">IF(J346="","",IFERROR(INDEX('JSON del cliente'!$B$5:$B$288,MATCH(J346,'JSON del cliente'!$A$5:$A$288,0)),"no está en el JSON"))</f>
        <v/>
      </c>
      <c r="L346" s="8"/>
      <c r="M346" s="8"/>
      <c r="N346" s="8"/>
      <c r="O346" s="8"/>
      <c r="P346" s="8"/>
      <c r="Q346" s="7" t="n">
        <f aca="false">IF(AND($A346=$A345,$B346=$B345),Q345,Q345+1)</f>
        <v>14</v>
      </c>
      <c r="R346" s="0" t="str">
        <f aca="false">IF($A346="","",IFERROR(INDEX(R$5:R345,MATCH($A346,$A$5:$A345,0)),MAX(R$5:R345)+1))</f>
        <v/>
      </c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9" t="str">
        <f aca="false">IF(J347="","",IFERROR(INDEX('JSON del cliente'!$B$5:$B$288,MATCH(J347,'JSON del cliente'!$A$5:$A$288,0)),"no está en el JSON"))</f>
        <v/>
      </c>
      <c r="L347" s="8"/>
      <c r="M347" s="8"/>
      <c r="N347" s="8"/>
      <c r="O347" s="8"/>
      <c r="P347" s="8"/>
      <c r="Q347" s="7" t="n">
        <f aca="false">IF(AND($A347=$A346,$B347=$B346),Q346,Q346+1)</f>
        <v>14</v>
      </c>
      <c r="R347" s="0" t="str">
        <f aca="false">IF($A347="","",IFERROR(INDEX(R$5:R346,MATCH($A347,$A$5:$A346,0)),MAX(R$5:R346)+1))</f>
        <v/>
      </c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9" t="str">
        <f aca="false">IF(J348="","",IFERROR(INDEX('JSON del cliente'!$B$5:$B$288,MATCH(J348,'JSON del cliente'!$A$5:$A$288,0)),"no está en el JSON"))</f>
        <v/>
      </c>
      <c r="L348" s="8"/>
      <c r="M348" s="8"/>
      <c r="N348" s="8"/>
      <c r="O348" s="8"/>
      <c r="P348" s="8"/>
      <c r="Q348" s="7" t="n">
        <f aca="false">IF(AND($A348=$A347,$B348=$B347),Q347,Q347+1)</f>
        <v>14</v>
      </c>
      <c r="R348" s="0" t="str">
        <f aca="false">IF($A348="","",IFERROR(INDEX(R$5:R347,MATCH($A348,$A$5:$A347,0)),MAX(R$5:R347)+1))</f>
        <v/>
      </c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9" t="str">
        <f aca="false">IF(J349="","",IFERROR(INDEX('JSON del cliente'!$B$5:$B$288,MATCH(J349,'JSON del cliente'!$A$5:$A$288,0)),"no está en el JSON"))</f>
        <v/>
      </c>
      <c r="L349" s="8"/>
      <c r="M349" s="8"/>
      <c r="N349" s="8"/>
      <c r="O349" s="8"/>
      <c r="P349" s="8"/>
      <c r="Q349" s="7" t="n">
        <f aca="false">IF(AND($A349=$A348,$B349=$B348),Q348,Q348+1)</f>
        <v>14</v>
      </c>
      <c r="R349" s="0" t="str">
        <f aca="false">IF($A349="","",IFERROR(INDEX(R$5:R348,MATCH($A349,$A$5:$A348,0)),MAX(R$5:R348)+1))</f>
        <v/>
      </c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9" t="str">
        <f aca="false">IF(J350="","",IFERROR(INDEX('JSON del cliente'!$B$5:$B$288,MATCH(J350,'JSON del cliente'!$A$5:$A$288,0)),"no está en el JSON"))</f>
        <v/>
      </c>
      <c r="L350" s="8"/>
      <c r="M350" s="8"/>
      <c r="N350" s="8"/>
      <c r="O350" s="8"/>
      <c r="P350" s="8"/>
      <c r="Q350" s="7" t="n">
        <f aca="false">IF(AND($A350=$A349,$B350=$B349),Q349,Q349+1)</f>
        <v>14</v>
      </c>
      <c r="R350" s="0" t="str">
        <f aca="false">IF($A350="","",IFERROR(INDEX(R$5:R349,MATCH($A350,$A$5:$A349,0)),MAX(R$5:R349)+1))</f>
        <v/>
      </c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9" t="str">
        <f aca="false">IF(J351="","",IFERROR(INDEX('JSON del cliente'!$B$5:$B$288,MATCH(J351,'JSON del cliente'!$A$5:$A$288,0)),"no está en el JSON"))</f>
        <v/>
      </c>
      <c r="L351" s="8"/>
      <c r="M351" s="8"/>
      <c r="N351" s="8"/>
      <c r="O351" s="8"/>
      <c r="P351" s="8"/>
      <c r="Q351" s="7" t="n">
        <f aca="false">IF(AND($A351=$A350,$B351=$B350),Q350,Q350+1)</f>
        <v>14</v>
      </c>
      <c r="R351" s="0" t="str">
        <f aca="false">IF($A351="","",IFERROR(INDEX(R$5:R350,MATCH($A351,$A$5:$A350,0)),MAX(R$5:R350)+1))</f>
        <v/>
      </c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9" t="str">
        <f aca="false">IF(J352="","",IFERROR(INDEX('JSON del cliente'!$B$5:$B$288,MATCH(J352,'JSON del cliente'!$A$5:$A$288,0)),"no está en el JSON"))</f>
        <v/>
      </c>
      <c r="L352" s="8"/>
      <c r="M352" s="8"/>
      <c r="N352" s="8"/>
      <c r="O352" s="8"/>
      <c r="P352" s="8"/>
      <c r="Q352" s="7" t="n">
        <f aca="false">IF(AND($A352=$A351,$B352=$B351),Q351,Q351+1)</f>
        <v>14</v>
      </c>
      <c r="R352" s="0" t="str">
        <f aca="false">IF($A352="","",IFERROR(INDEX(R$5:R351,MATCH($A352,$A$5:$A351,0)),MAX(R$5:R351)+1))</f>
        <v/>
      </c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9" t="str">
        <f aca="false">IF(J353="","",IFERROR(INDEX('JSON del cliente'!$B$5:$B$288,MATCH(J353,'JSON del cliente'!$A$5:$A$288,0)),"no está en el JSON"))</f>
        <v/>
      </c>
      <c r="L353" s="8"/>
      <c r="M353" s="8"/>
      <c r="N353" s="8"/>
      <c r="O353" s="8"/>
      <c r="P353" s="8"/>
      <c r="Q353" s="7" t="n">
        <f aca="false">IF(AND($A353=$A352,$B353=$B352),Q352,Q352+1)</f>
        <v>14</v>
      </c>
      <c r="R353" s="0" t="str">
        <f aca="false">IF($A353="","",IFERROR(INDEX(R$5:R352,MATCH($A353,$A$5:$A352,0)),MAX(R$5:R352)+1))</f>
        <v/>
      </c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9" t="str">
        <f aca="false">IF(J354="","",IFERROR(INDEX('JSON del cliente'!$B$5:$B$288,MATCH(J354,'JSON del cliente'!$A$5:$A$288,0)),"no está en el JSON"))</f>
        <v/>
      </c>
      <c r="L354" s="8"/>
      <c r="M354" s="8"/>
      <c r="N354" s="8"/>
      <c r="O354" s="8"/>
      <c r="P354" s="8"/>
      <c r="Q354" s="7" t="n">
        <f aca="false">IF(AND($A354=$A353,$B354=$B353),Q353,Q353+1)</f>
        <v>14</v>
      </c>
      <c r="R354" s="0" t="str">
        <f aca="false">IF($A354="","",IFERROR(INDEX(R$5:R353,MATCH($A354,$A$5:$A353,0)),MAX(R$5:R353)+1))</f>
        <v/>
      </c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9" t="str">
        <f aca="false">IF(J355="","",IFERROR(INDEX('JSON del cliente'!$B$5:$B$288,MATCH(J355,'JSON del cliente'!$A$5:$A$288,0)),"no está en el JSON"))</f>
        <v/>
      </c>
      <c r="L355" s="8"/>
      <c r="M355" s="8"/>
      <c r="N355" s="8"/>
      <c r="O355" s="8"/>
      <c r="P355" s="8"/>
      <c r="Q355" s="7" t="n">
        <f aca="false">IF(AND($A355=$A354,$B355=$B354),Q354,Q354+1)</f>
        <v>14</v>
      </c>
      <c r="R355" s="0" t="str">
        <f aca="false">IF($A355="","",IFERROR(INDEX(R$5:R354,MATCH($A355,$A$5:$A354,0)),MAX(R$5:R354)+1))</f>
        <v/>
      </c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9" t="str">
        <f aca="false">IF(J356="","",IFERROR(INDEX('JSON del cliente'!$B$5:$B$288,MATCH(J356,'JSON del cliente'!$A$5:$A$288,0)),"no está en el JSON"))</f>
        <v/>
      </c>
      <c r="L356" s="8"/>
      <c r="M356" s="8"/>
      <c r="N356" s="8"/>
      <c r="O356" s="8"/>
      <c r="P356" s="8"/>
      <c r="Q356" s="7" t="n">
        <f aca="false">IF(AND($A356=$A355,$B356=$B355),Q355,Q355+1)</f>
        <v>14</v>
      </c>
      <c r="R356" s="0" t="str">
        <f aca="false">IF($A356="","",IFERROR(INDEX(R$5:R355,MATCH($A356,$A$5:$A355,0)),MAX(R$5:R355)+1))</f>
        <v/>
      </c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9" t="str">
        <f aca="false">IF(J357="","",IFERROR(INDEX('JSON del cliente'!$B$5:$B$288,MATCH(J357,'JSON del cliente'!$A$5:$A$288,0)),"no está en el JSON"))</f>
        <v/>
      </c>
      <c r="L357" s="8"/>
      <c r="M357" s="8"/>
      <c r="N357" s="8"/>
      <c r="O357" s="8"/>
      <c r="P357" s="8"/>
      <c r="Q357" s="7" t="n">
        <f aca="false">IF(AND($A357=$A356,$B357=$B356),Q356,Q356+1)</f>
        <v>14</v>
      </c>
      <c r="R357" s="0" t="str">
        <f aca="false">IF($A357="","",IFERROR(INDEX(R$5:R356,MATCH($A357,$A$5:$A356,0)),MAX(R$5:R356)+1))</f>
        <v/>
      </c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9" t="str">
        <f aca="false">IF(J358="","",IFERROR(INDEX('JSON del cliente'!$B$5:$B$288,MATCH(J358,'JSON del cliente'!$A$5:$A$288,0)),"no está en el JSON"))</f>
        <v/>
      </c>
      <c r="L358" s="8"/>
      <c r="M358" s="8"/>
      <c r="N358" s="8"/>
      <c r="O358" s="8"/>
      <c r="P358" s="8"/>
      <c r="Q358" s="7" t="n">
        <f aca="false">IF(AND($A358=$A357,$B358=$B357),Q357,Q357+1)</f>
        <v>14</v>
      </c>
      <c r="R358" s="0" t="str">
        <f aca="false">IF($A358="","",IFERROR(INDEX(R$5:R357,MATCH($A358,$A$5:$A357,0)),MAX(R$5:R357)+1))</f>
        <v/>
      </c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9" t="str">
        <f aca="false">IF(J359="","",IFERROR(INDEX('JSON del cliente'!$B$5:$B$288,MATCH(J359,'JSON del cliente'!$A$5:$A$288,0)),"no está en el JSON"))</f>
        <v/>
      </c>
      <c r="L359" s="8"/>
      <c r="M359" s="8"/>
      <c r="N359" s="8"/>
      <c r="O359" s="8"/>
      <c r="P359" s="8"/>
      <c r="Q359" s="7" t="n">
        <f aca="false">IF(AND($A359=$A358,$B359=$B358),Q358,Q358+1)</f>
        <v>14</v>
      </c>
      <c r="R359" s="0" t="str">
        <f aca="false">IF($A359="","",IFERROR(INDEX(R$5:R358,MATCH($A359,$A$5:$A358,0)),MAX(R$5:R358)+1))</f>
        <v/>
      </c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9" t="str">
        <f aca="false">IF(J360="","",IFERROR(INDEX('JSON del cliente'!$B$5:$B$288,MATCH(J360,'JSON del cliente'!$A$5:$A$288,0)),"no está en el JSON"))</f>
        <v/>
      </c>
      <c r="L360" s="8"/>
      <c r="M360" s="8"/>
      <c r="N360" s="8"/>
      <c r="O360" s="8"/>
      <c r="P360" s="8"/>
      <c r="Q360" s="7" t="n">
        <f aca="false">IF(AND($A360=$A359,$B360=$B359),Q359,Q359+1)</f>
        <v>14</v>
      </c>
      <c r="R360" s="0" t="str">
        <f aca="false">IF($A360="","",IFERROR(INDEX(R$5:R359,MATCH($A360,$A$5:$A359,0)),MAX(R$5:R359)+1))</f>
        <v/>
      </c>
    </row>
  </sheetData>
  <autoFilter ref="A5:P360"/>
  <conditionalFormatting sqref="A6:P360">
    <cfRule type="expression" priority="2" aboveAverage="0" equalAverage="0" bottom="0" percent="0" rank="0" text="" dxfId="13">
      <formula>$D6="Dato oculto"</formula>
    </cfRule>
    <cfRule type="expression" priority="3" aboveAverage="0" equalAverage="0" bottom="0" percent="0" rank="0" text="" dxfId="14">
      <formula>AND($A6&lt;&gt;"",MOD($R6-1,8)=0)</formula>
    </cfRule>
    <cfRule type="expression" priority="4" aboveAverage="0" equalAverage="0" bottom="0" percent="0" rank="0" text="" dxfId="15">
      <formula>AND($A6&lt;&gt;"",MOD($R6-1,8)=1)</formula>
    </cfRule>
    <cfRule type="expression" priority="5" aboveAverage="0" equalAverage="0" bottom="0" percent="0" rank="0" text="" dxfId="16">
      <formula>AND($A6&lt;&gt;"",MOD($R6-1,8)=2)</formula>
    </cfRule>
    <cfRule type="expression" priority="6" aboveAverage="0" equalAverage="0" bottom="0" percent="0" rank="0" text="" dxfId="17">
      <formula>AND($A6&lt;&gt;"",MOD($R6-1,8)=3)</formula>
    </cfRule>
    <cfRule type="expression" priority="7" aboveAverage="0" equalAverage="0" bottom="0" percent="0" rank="0" text="" dxfId="18">
      <formula>AND($A6&lt;&gt;"",MOD($R6-1,8)=4)</formula>
    </cfRule>
    <cfRule type="expression" priority="8" aboveAverage="0" equalAverage="0" bottom="0" percent="0" rank="0" text="" dxfId="19">
      <formula>AND($A6&lt;&gt;"",MOD($R6-1,8)=5)</formula>
    </cfRule>
    <cfRule type="expression" priority="9" aboveAverage="0" equalAverage="0" bottom="0" percent="0" rank="0" text="" dxfId="20">
      <formula>AND($A6&lt;&gt;"",MOD($R6-1,8)=6)</formula>
    </cfRule>
    <cfRule type="expression" priority="10" aboveAverage="0" equalAverage="0" bottom="0" percent="0" rank="0" text="" dxfId="21">
      <formula>AND($A6&lt;&gt;"",MOD($R6-1,8)=7)</formula>
    </cfRule>
  </conditionalFormatting>
  <conditionalFormatting sqref="K6:K360">
    <cfRule type="expression" priority="11" aboveAverage="0" equalAverage="0" bottom="0" percent="0" rank="0" text="" dxfId="22">
      <formula>K6="no está en el JSON"</formula>
    </cfRule>
  </conditionalFormatting>
  <conditionalFormatting sqref="A7:A360">
    <cfRule type="expression" priority="12" aboveAverage="0" equalAverage="0" bottom="0" percent="0" rank="0" text="" dxfId="23">
      <formula>AND($A7&lt;&gt;"",$A7=$A6)</formula>
    </cfRule>
  </conditionalFormatting>
  <conditionalFormatting sqref="B7:B360">
    <cfRule type="expression" priority="13" aboveAverage="0" equalAverage="0" bottom="0" percent="0" rank="0" text="" dxfId="23">
      <formula>AND($B7&lt;&gt;"",$A7=$A6,$B7=$B6)</formula>
    </cfRule>
  </conditionalFormatting>
  <conditionalFormatting sqref="A7:P360">
    <cfRule type="expression" priority="14" aboveAverage="0" equalAverage="0" bottom="0" percent="0" rank="0" text="" dxfId="24">
      <formula>AND($A7&lt;&gt;"",$A7&lt;&gt;$A6)</formula>
    </cfRule>
    <cfRule type="expression" priority="15" aboveAverage="0" equalAverage="0" bottom="0" percent="0" rank="0" text="" dxfId="25">
      <formula>AND($B7&lt;&gt;"",$A7=$A6,$B7&lt;&gt;$B6)</formula>
    </cfRule>
  </conditionalFormatting>
  <dataValidations count="8">
    <dataValidation allowBlank="true" errorStyle="stop" operator="between" showDropDown="false" showErrorMessage="false" showInputMessage="false" sqref="A6:A360" type="list">
      <formula1>Listas!$D$2:$D$10</formula1>
      <formula2>0</formula2>
    </dataValidation>
    <dataValidation allowBlank="true" errorStyle="stop" operator="between" showDropDown="false" showErrorMessage="false" showInputMessage="false" sqref="B6:B360" type="list">
      <formula1>OFFSET(Listas!$B$2,MATCH($A6,Listas!$A$2:$A$23,0)-1,0,COUNTIF(Listas!$A$2:$A$23,$A6),1)</formula1>
      <formula2>0</formula2>
    </dataValidation>
    <dataValidation allowBlank="true" errorStyle="stop" operator="between" showDropDown="false" showErrorMessage="false" showInputMessage="false" sqref="D6:D360" type="list">
      <formula1>"Texto corto,Texto largo,Número,Fecha,Email,Teléfono,Una opción de una lista,Una opción (botones),Varias opciones,Sí / No,Casilla de verificación,Texto informativo,Firma,Dato oculto"</formula1>
      <formula2>0</formula2>
    </dataValidation>
    <dataValidation allowBlank="true" errorStyle="stop" operator="between" showDropDown="false" showErrorMessage="false" showInputMessage="false" sqref="F6:F360" type="list">
      <formula1>"Sí,No"</formula1>
      <formula2>0</formula2>
    </dataValidation>
    <dataValidation allowBlank="true" errorStyle="stop" operator="between" showDropDown="false" showErrorMessage="false" showInputMessage="false" sqref="G6:G360" type="list">
      <formula1>"Sí,No"</formula1>
      <formula2>0</formula2>
    </dataValidation>
    <dataValidation allowBlank="true" errorStyle="stop" operator="between" showDropDown="false" showErrorMessage="false" showInputMessage="false" sqref="H6:H360" type="list">
      <formula1>"Sí,No"</formula1>
      <formula2>0</formula2>
    </dataValidation>
    <dataValidation allowBlank="true" errorStyle="stop" operator="between" showDropDown="false" showErrorMessage="false" showInputMessage="false" sqref="N6:N360" type="list">
      <formula1>"Sí,No"</formula1>
      <formula2>0</formula2>
    </dataValidation>
    <dataValidation allowBlank="true" errorStyle="stop" operator="between" showDropDown="false" showErrorMessage="false" showInputMessage="false" sqref="J6:J360" type="list">
      <formula1>'JSON del cliente'!$A$5:$A$87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3" customFormat="false" ht="15" hidden="false" customHeight="false" outlineLevel="0" collapsed="false">
      <c r="A3" s="2" t="s">
        <v>190</v>
      </c>
    </row>
    <row r="4" customFormat="false" ht="31.5" hidden="false" customHeight="true" outlineLevel="0" collapsed="false">
      <c r="A4" s="4" t="s">
        <v>12</v>
      </c>
      <c r="B4" s="4" t="s">
        <v>191</v>
      </c>
      <c r="C4" s="3" t="s">
        <v>192</v>
      </c>
    </row>
    <row r="5" customFormat="false" ht="15" hidden="false" customHeight="false" outlineLevel="0" collapsed="false">
      <c r="A5" s="8" t="s">
        <v>27</v>
      </c>
      <c r="B5" s="8" t="s">
        <v>193</v>
      </c>
      <c r="C5" s="10" t="str">
        <f aca="false">IF(COUNTIF(Preguntas!$J$6:$J$360,A5)&gt;0,"Sí","No")</f>
        <v>Sí</v>
      </c>
    </row>
    <row r="6" customFormat="false" ht="23.85" hidden="false" customHeight="false" outlineLevel="0" collapsed="false">
      <c r="A6" s="8" t="s">
        <v>30</v>
      </c>
      <c r="B6" s="8" t="s">
        <v>194</v>
      </c>
      <c r="C6" s="10" t="str">
        <f aca="false">IF(COUNTIF(Preguntas!$J$6:$J$360,A6)&gt;0,"Sí","No")</f>
        <v>Sí</v>
      </c>
    </row>
    <row r="7" customFormat="false" ht="15" hidden="false" customHeight="false" outlineLevel="0" collapsed="false">
      <c r="A7" s="8" t="s">
        <v>32</v>
      </c>
      <c r="B7" s="8" t="s">
        <v>112</v>
      </c>
      <c r="C7" s="10" t="str">
        <f aca="false">IF(COUNTIF(Preguntas!$J$6:$J$360,A7)&gt;0,"Sí","No")</f>
        <v>Sí</v>
      </c>
    </row>
    <row r="8" customFormat="false" ht="15" hidden="false" customHeight="false" outlineLevel="0" collapsed="false">
      <c r="A8" s="8" t="s">
        <v>35</v>
      </c>
      <c r="B8" s="8" t="s">
        <v>112</v>
      </c>
      <c r="C8" s="10" t="str">
        <f aca="false">IF(COUNTIF(Preguntas!$J$6:$J$360,A8)&gt;0,"Sí","No")</f>
        <v>Sí</v>
      </c>
    </row>
    <row r="9" customFormat="false" ht="23.85" hidden="false" customHeight="false" outlineLevel="0" collapsed="false">
      <c r="A9" s="8" t="s">
        <v>39</v>
      </c>
      <c r="B9" s="8" t="s">
        <v>195</v>
      </c>
      <c r="C9" s="10" t="str">
        <f aca="false">IF(COUNTIF(Preguntas!$J$6:$J$360,A9)&gt;0,"Sí","No")</f>
        <v>Sí</v>
      </c>
    </row>
    <row r="10" customFormat="false" ht="15" hidden="false" customHeight="false" outlineLevel="0" collapsed="false">
      <c r="A10" s="8" t="s">
        <v>41</v>
      </c>
      <c r="B10" s="8" t="s">
        <v>196</v>
      </c>
      <c r="C10" s="10" t="str">
        <f aca="false">IF(COUNTIF(Preguntas!$J$6:$J$360,A10)&gt;0,"Sí","No")</f>
        <v>Sí</v>
      </c>
    </row>
    <row r="11" customFormat="false" ht="15" hidden="false" customHeight="false" outlineLevel="0" collapsed="false">
      <c r="A11" s="8" t="s">
        <v>43</v>
      </c>
      <c r="B11" s="8" t="s">
        <v>197</v>
      </c>
      <c r="C11" s="10" t="str">
        <f aca="false">IF(COUNTIF(Preguntas!$J$6:$J$360,A11)&gt;0,"Sí","No")</f>
        <v>Sí</v>
      </c>
    </row>
    <row r="12" customFormat="false" ht="23.85" hidden="false" customHeight="false" outlineLevel="0" collapsed="false">
      <c r="A12" s="8" t="s">
        <v>45</v>
      </c>
      <c r="B12" s="8" t="s">
        <v>198</v>
      </c>
      <c r="C12" s="10" t="str">
        <f aca="false">IF(COUNTIF(Preguntas!$J$6:$J$360,A12)&gt;0,"Sí","No")</f>
        <v>Sí</v>
      </c>
    </row>
    <row r="13" customFormat="false" ht="15" hidden="false" customHeight="false" outlineLevel="0" collapsed="false">
      <c r="A13" s="8" t="s">
        <v>47</v>
      </c>
      <c r="B13" s="8" t="s">
        <v>199</v>
      </c>
      <c r="C13" s="10" t="str">
        <f aca="false">IF(COUNTIF(Preguntas!$J$6:$J$360,A13)&gt;0,"Sí","No")</f>
        <v>Sí</v>
      </c>
    </row>
    <row r="14" customFormat="false" ht="15" hidden="false" customHeight="false" outlineLevel="0" collapsed="false">
      <c r="A14" s="8" t="s">
        <v>49</v>
      </c>
      <c r="B14" s="8" t="s">
        <v>200</v>
      </c>
      <c r="C14" s="10" t="str">
        <f aca="false">IF(COUNTIF(Preguntas!$J$6:$J$360,A14)&gt;0,"Sí","No")</f>
        <v>Sí</v>
      </c>
    </row>
    <row r="15" customFormat="false" ht="15" hidden="false" customHeight="false" outlineLevel="0" collapsed="false">
      <c r="A15" s="8" t="s">
        <v>79</v>
      </c>
      <c r="B15" s="8" t="s">
        <v>201</v>
      </c>
      <c r="C15" s="10" t="str">
        <f aca="false">IF(COUNTIF(Preguntas!$J$6:$J$360,A15)&gt;0,"Sí","No")</f>
        <v>Sí</v>
      </c>
    </row>
    <row r="16" customFormat="false" ht="15" hidden="false" customHeight="false" outlineLevel="0" collapsed="false">
      <c r="A16" s="8" t="s">
        <v>82</v>
      </c>
      <c r="B16" s="8" t="s">
        <v>202</v>
      </c>
      <c r="C16" s="10" t="str">
        <f aca="false">IF(COUNTIF(Preguntas!$J$6:$J$360,A16)&gt;0,"Sí","No")</f>
        <v>Sí</v>
      </c>
    </row>
    <row r="17" customFormat="false" ht="15" hidden="false" customHeight="false" outlineLevel="0" collapsed="false">
      <c r="A17" s="8" t="s">
        <v>181</v>
      </c>
      <c r="B17" s="8"/>
      <c r="C17" s="10" t="str">
        <f aca="false">IF(COUNTIF(Preguntas!$J$6:$J$360,A17)&gt;0,"Sí","No")</f>
        <v>Sí</v>
      </c>
    </row>
    <row r="18" customFormat="false" ht="15" hidden="false" customHeight="false" outlineLevel="0" collapsed="false">
      <c r="A18" s="8" t="s">
        <v>184</v>
      </c>
      <c r="B18" s="8"/>
      <c r="C18" s="10" t="str">
        <f aca="false">IF(COUNTIF(Preguntas!$J$6:$J$360,A18)&gt;0,"Sí","No")</f>
        <v>Sí</v>
      </c>
    </row>
    <row r="19" customFormat="false" ht="15" hidden="false" customHeight="false" outlineLevel="0" collapsed="false">
      <c r="A19" s="8" t="s">
        <v>89</v>
      </c>
      <c r="B19" s="8" t="s">
        <v>203</v>
      </c>
      <c r="C19" s="10" t="str">
        <f aca="false">IF(COUNTIF(Preguntas!$J$6:$J$360,A19)&gt;0,"Sí","No")</f>
        <v>Sí</v>
      </c>
    </row>
    <row r="20" customFormat="false" ht="15" hidden="false" customHeight="false" outlineLevel="0" collapsed="false">
      <c r="A20" s="8" t="s">
        <v>204</v>
      </c>
      <c r="B20" s="8" t="s">
        <v>205</v>
      </c>
      <c r="C20" s="10" t="str">
        <f aca="false">IF(COUNTIF(Preguntas!$J$6:$J$360,A20)&gt;0,"Sí","No")</f>
        <v>No</v>
      </c>
    </row>
    <row r="21" customFormat="false" ht="15" hidden="false" customHeight="false" outlineLevel="0" collapsed="false">
      <c r="A21" s="8" t="s">
        <v>206</v>
      </c>
      <c r="B21" s="8" t="s">
        <v>207</v>
      </c>
      <c r="C21" s="10" t="str">
        <f aca="false">IF(COUNTIF(Preguntas!$J$6:$J$360,A21)&gt;0,"Sí","No")</f>
        <v>No</v>
      </c>
    </row>
    <row r="22" customFormat="false" ht="15" hidden="false" customHeight="false" outlineLevel="0" collapsed="false">
      <c r="A22" s="8" t="s">
        <v>92</v>
      </c>
      <c r="B22" s="8" t="s">
        <v>208</v>
      </c>
      <c r="C22" s="10" t="str">
        <f aca="false">IF(COUNTIF(Preguntas!$J$6:$J$360,A22)&gt;0,"Sí","No")</f>
        <v>Sí</v>
      </c>
    </row>
    <row r="23" customFormat="false" ht="15" hidden="false" customHeight="false" outlineLevel="0" collapsed="false">
      <c r="A23" s="8" t="s">
        <v>209</v>
      </c>
      <c r="B23" s="8" t="s">
        <v>210</v>
      </c>
      <c r="C23" s="10" t="str">
        <f aca="false">IF(COUNTIF(Preguntas!$J$6:$J$360,A23)&gt;0,"Sí","No")</f>
        <v>No</v>
      </c>
    </row>
    <row r="24" customFormat="false" ht="15" hidden="false" customHeight="false" outlineLevel="0" collapsed="false">
      <c r="A24" s="8" t="s">
        <v>95</v>
      </c>
      <c r="B24" s="8" t="s">
        <v>211</v>
      </c>
      <c r="C24" s="10" t="str">
        <f aca="false">IF(COUNTIF(Preguntas!$J$6:$J$360,A24)&gt;0,"Sí","No")</f>
        <v>Sí</v>
      </c>
    </row>
    <row r="25" customFormat="false" ht="15" hidden="false" customHeight="false" outlineLevel="0" collapsed="false">
      <c r="A25" s="8" t="s">
        <v>98</v>
      </c>
      <c r="B25" s="8" t="s">
        <v>212</v>
      </c>
      <c r="C25" s="10" t="str">
        <f aca="false">IF(COUNTIF(Preguntas!$J$6:$J$360,A25)&gt;0,"Sí","No")</f>
        <v>Sí</v>
      </c>
    </row>
    <row r="26" customFormat="false" ht="15" hidden="false" customHeight="false" outlineLevel="0" collapsed="false">
      <c r="A26" s="8" t="s">
        <v>100</v>
      </c>
      <c r="B26" s="8" t="s">
        <v>213</v>
      </c>
      <c r="C26" s="10" t="str">
        <f aca="false">IF(COUNTIF(Preguntas!$J$6:$J$360,A26)&gt;0,"Sí","No")</f>
        <v>Sí</v>
      </c>
    </row>
    <row r="27" customFormat="false" ht="23.85" hidden="false" customHeight="false" outlineLevel="0" collapsed="false">
      <c r="A27" s="8" t="s">
        <v>214</v>
      </c>
      <c r="B27" s="8" t="s">
        <v>215</v>
      </c>
      <c r="C27" s="10" t="str">
        <f aca="false">IF(COUNTIF(Preguntas!$J$6:$J$360,A27)&gt;0,"Sí","No")</f>
        <v>No</v>
      </c>
    </row>
    <row r="28" customFormat="false" ht="15" hidden="false" customHeight="false" outlineLevel="0" collapsed="false">
      <c r="A28" s="8" t="s">
        <v>216</v>
      </c>
      <c r="B28" s="8" t="s">
        <v>217</v>
      </c>
      <c r="C28" s="10" t="str">
        <f aca="false">IF(COUNTIF(Preguntas!$J$6:$J$360,A28)&gt;0,"Sí","No")</f>
        <v>No</v>
      </c>
    </row>
    <row r="29" customFormat="false" ht="15" hidden="false" customHeight="false" outlineLevel="0" collapsed="false">
      <c r="A29" s="8" t="s">
        <v>218</v>
      </c>
      <c r="B29" s="8" t="s">
        <v>219</v>
      </c>
      <c r="C29" s="10" t="str">
        <f aca="false">IF(COUNTIF(Preguntas!$J$6:$J$360,A29)&gt;0,"Sí","No")</f>
        <v>No</v>
      </c>
    </row>
    <row r="30" customFormat="false" ht="15" hidden="false" customHeight="false" outlineLevel="0" collapsed="false">
      <c r="A30" s="8" t="s">
        <v>220</v>
      </c>
      <c r="B30" s="8" t="s">
        <v>221</v>
      </c>
      <c r="C30" s="10" t="str">
        <f aca="false">IF(COUNTIF(Preguntas!$J$6:$J$360,A30)&gt;0,"Sí","No")</f>
        <v>No</v>
      </c>
    </row>
    <row r="31" customFormat="false" ht="15" hidden="false" customHeight="false" outlineLevel="0" collapsed="false">
      <c r="A31" s="8" t="s">
        <v>222</v>
      </c>
      <c r="B31" s="8" t="s">
        <v>223</v>
      </c>
      <c r="C31" s="10" t="str">
        <f aca="false">IF(COUNTIF(Preguntas!$J$6:$J$360,A31)&gt;0,"Sí","No")</f>
        <v>No</v>
      </c>
    </row>
    <row r="32" customFormat="false" ht="15" hidden="false" customHeight="false" outlineLevel="0" collapsed="false">
      <c r="A32" s="8" t="s">
        <v>224</v>
      </c>
      <c r="B32" s="8" t="s">
        <v>225</v>
      </c>
      <c r="C32" s="10" t="str">
        <f aca="false">IF(COUNTIF(Preguntas!$J$6:$J$360,A32)&gt;0,"Sí","No")</f>
        <v>No</v>
      </c>
    </row>
    <row r="33" customFormat="false" ht="15" hidden="false" customHeight="false" outlineLevel="0" collapsed="false">
      <c r="A33" s="8" t="s">
        <v>226</v>
      </c>
      <c r="B33" s="8" t="s">
        <v>227</v>
      </c>
      <c r="C33" s="10" t="str">
        <f aca="false">IF(COUNTIF(Preguntas!$J$6:$J$360,A33)&gt;0,"Sí","No")</f>
        <v>No</v>
      </c>
    </row>
    <row r="34" customFormat="false" ht="15" hidden="false" customHeight="false" outlineLevel="0" collapsed="false">
      <c r="A34" s="8" t="s">
        <v>228</v>
      </c>
      <c r="B34" s="8" t="s">
        <v>229</v>
      </c>
      <c r="C34" s="10" t="str">
        <f aca="false">IF(COUNTIF(Preguntas!$J$6:$J$360,A34)&gt;0,"Sí","No")</f>
        <v>No</v>
      </c>
    </row>
    <row r="35" customFormat="false" ht="15" hidden="false" customHeight="false" outlineLevel="0" collapsed="false">
      <c r="A35" s="8" t="s">
        <v>230</v>
      </c>
      <c r="B35" s="8" t="s">
        <v>231</v>
      </c>
      <c r="C35" s="10" t="str">
        <f aca="false">IF(COUNTIF(Preguntas!$J$6:$J$360,A35)&gt;0,"Sí","No")</f>
        <v>No</v>
      </c>
    </row>
    <row r="36" customFormat="false" ht="15" hidden="false" customHeight="false" outlineLevel="0" collapsed="false">
      <c r="A36" s="8" t="s">
        <v>232</v>
      </c>
      <c r="B36" s="8" t="s">
        <v>233</v>
      </c>
      <c r="C36" s="10" t="str">
        <f aca="false">IF(COUNTIF(Preguntas!$J$6:$J$360,A36)&gt;0,"Sí","No")</f>
        <v>No</v>
      </c>
    </row>
    <row r="37" customFormat="false" ht="23.85" hidden="false" customHeight="false" outlineLevel="0" collapsed="false">
      <c r="A37" s="8" t="s">
        <v>104</v>
      </c>
      <c r="B37" s="8" t="s">
        <v>233</v>
      </c>
      <c r="C37" s="10" t="str">
        <f aca="false">IF(COUNTIF(Preguntas!$J$6:$J$360,A37)&gt;0,"Sí","No")</f>
        <v>Sí</v>
      </c>
    </row>
    <row r="38" customFormat="false" ht="15" hidden="false" customHeight="false" outlineLevel="0" collapsed="false">
      <c r="A38" s="8" t="s">
        <v>107</v>
      </c>
      <c r="B38" s="8" t="s">
        <v>234</v>
      </c>
      <c r="C38" s="10" t="str">
        <f aca="false">IF(COUNTIF(Preguntas!$J$6:$J$360,A38)&gt;0,"Sí","No")</f>
        <v>Sí</v>
      </c>
    </row>
    <row r="39" customFormat="false" ht="15" hidden="false" customHeight="false" outlineLevel="0" collapsed="false">
      <c r="A39" s="8" t="s">
        <v>235</v>
      </c>
      <c r="B39" s="8"/>
      <c r="C39" s="10" t="str">
        <f aca="false">IF(COUNTIF(Preguntas!$J$6:$J$360,A39)&gt;0,"Sí","No")</f>
        <v>No</v>
      </c>
    </row>
    <row r="40" customFormat="false" ht="15" hidden="false" customHeight="false" outlineLevel="0" collapsed="false">
      <c r="A40" s="8" t="s">
        <v>52</v>
      </c>
      <c r="B40" s="8" t="s">
        <v>236</v>
      </c>
      <c r="C40" s="10" t="str">
        <f aca="false">IF(COUNTIF(Preguntas!$J$6:$J$360,A40)&gt;0,"Sí","No")</f>
        <v>Sí</v>
      </c>
    </row>
    <row r="41" customFormat="false" ht="15" hidden="false" customHeight="false" outlineLevel="0" collapsed="false">
      <c r="A41" s="8" t="s">
        <v>55</v>
      </c>
      <c r="B41" s="8" t="s">
        <v>237</v>
      </c>
      <c r="C41" s="10" t="str">
        <f aca="false">IF(COUNTIF(Preguntas!$J$6:$J$360,A41)&gt;0,"Sí","No")</f>
        <v>Sí</v>
      </c>
    </row>
    <row r="42" customFormat="false" ht="15" hidden="false" customHeight="false" outlineLevel="0" collapsed="false">
      <c r="A42" s="8" t="s">
        <v>113</v>
      </c>
      <c r="B42" s="8" t="s">
        <v>238</v>
      </c>
      <c r="C42" s="10" t="str">
        <f aca="false">IF(COUNTIF(Preguntas!$J$6:$J$360,A42)&gt;0,"Sí","No")</f>
        <v>Sí</v>
      </c>
    </row>
    <row r="43" customFormat="false" ht="15" hidden="false" customHeight="false" outlineLevel="0" collapsed="false">
      <c r="A43" s="8" t="s">
        <v>57</v>
      </c>
      <c r="B43" s="8" t="s">
        <v>238</v>
      </c>
      <c r="C43" s="10" t="str">
        <f aca="false">IF(COUNTIF(Preguntas!$J$6:$J$360,A43)&gt;0,"Sí","No")</f>
        <v>Sí</v>
      </c>
    </row>
    <row r="44" customFormat="false" ht="15" hidden="false" customHeight="false" outlineLevel="0" collapsed="false">
      <c r="A44" s="8" t="s">
        <v>115</v>
      </c>
      <c r="B44" s="8" t="s">
        <v>239</v>
      </c>
      <c r="C44" s="10" t="str">
        <f aca="false">IF(COUNTIF(Preguntas!$J$6:$J$360,A44)&gt;0,"Sí","No")</f>
        <v>Sí</v>
      </c>
    </row>
    <row r="45" customFormat="false" ht="15" hidden="false" customHeight="false" outlineLevel="0" collapsed="false">
      <c r="A45" s="8" t="s">
        <v>139</v>
      </c>
      <c r="B45" s="8" t="s">
        <v>240</v>
      </c>
      <c r="C45" s="10" t="str">
        <f aca="false">IF(COUNTIF(Preguntas!$J$6:$J$360,A45)&gt;0,"Sí","No")</f>
        <v>Sí</v>
      </c>
    </row>
    <row r="46" customFormat="false" ht="15" hidden="false" customHeight="false" outlineLevel="0" collapsed="false">
      <c r="A46" s="8" t="s">
        <v>63</v>
      </c>
      <c r="B46" s="8" t="s">
        <v>199</v>
      </c>
      <c r="C46" s="10" t="str">
        <f aca="false">IF(COUNTIF(Preguntas!$J$6:$J$360,A46)&gt;0,"Sí","No")</f>
        <v>Sí</v>
      </c>
    </row>
    <row r="47" customFormat="false" ht="15" hidden="false" customHeight="false" outlineLevel="0" collapsed="false">
      <c r="A47" s="8" t="s">
        <v>122</v>
      </c>
      <c r="B47" s="8" t="s">
        <v>241</v>
      </c>
      <c r="C47" s="10" t="str">
        <f aca="false">IF(COUNTIF(Preguntas!$J$6:$J$360,A47)&gt;0,"Sí","No")</f>
        <v>Sí</v>
      </c>
    </row>
    <row r="48" customFormat="false" ht="15" hidden="false" customHeight="false" outlineLevel="0" collapsed="false">
      <c r="A48" s="8" t="s">
        <v>124</v>
      </c>
      <c r="B48" s="8" t="s">
        <v>242</v>
      </c>
      <c r="C48" s="10" t="str">
        <f aca="false">IF(COUNTIF(Preguntas!$J$6:$J$360,A48)&gt;0,"Sí","No")</f>
        <v>Sí</v>
      </c>
    </row>
    <row r="49" customFormat="false" ht="15" hidden="false" customHeight="false" outlineLevel="0" collapsed="false">
      <c r="A49" s="8" t="s">
        <v>118</v>
      </c>
      <c r="B49" s="8" t="s">
        <v>243</v>
      </c>
      <c r="C49" s="10" t="str">
        <f aca="false">IF(COUNTIF(Preguntas!$J$6:$J$360,A49)&gt;0,"Sí","No")</f>
        <v>Sí</v>
      </c>
    </row>
    <row r="50" customFormat="false" ht="15" hidden="false" customHeight="false" outlineLevel="0" collapsed="false">
      <c r="A50" s="8" t="s">
        <v>120</v>
      </c>
      <c r="B50" s="8"/>
      <c r="C50" s="10" t="str">
        <f aca="false">IF(COUNTIF(Preguntas!$J$6:$J$360,A50)&gt;0,"Sí","No")</f>
        <v>Sí</v>
      </c>
    </row>
    <row r="51" customFormat="false" ht="15" hidden="false" customHeight="false" outlineLevel="0" collapsed="false">
      <c r="A51" s="8" t="s">
        <v>126</v>
      </c>
      <c r="B51" s="8" t="s">
        <v>244</v>
      </c>
      <c r="C51" s="10" t="str">
        <f aca="false">IF(COUNTIF(Preguntas!$J$6:$J$360,A51)&gt;0,"Sí","No")</f>
        <v>Sí</v>
      </c>
    </row>
    <row r="52" customFormat="false" ht="15" hidden="false" customHeight="false" outlineLevel="0" collapsed="false">
      <c r="A52" s="8" t="s">
        <v>66</v>
      </c>
      <c r="B52" s="8" t="s">
        <v>245</v>
      </c>
      <c r="C52" s="10" t="str">
        <f aca="false">IF(COUNTIF(Preguntas!$J$6:$J$360,A52)&gt;0,"Sí","No")</f>
        <v>Sí</v>
      </c>
    </row>
    <row r="53" customFormat="false" ht="15" hidden="false" customHeight="false" outlineLevel="0" collapsed="false">
      <c r="A53" s="8" t="s">
        <v>129</v>
      </c>
      <c r="B53" s="8" t="s">
        <v>246</v>
      </c>
      <c r="C53" s="10" t="str">
        <f aca="false">IF(COUNTIF(Preguntas!$J$6:$J$360,A53)&gt;0,"Sí","No")</f>
        <v>Sí</v>
      </c>
    </row>
    <row r="54" customFormat="false" ht="15" hidden="false" customHeight="false" outlineLevel="0" collapsed="false">
      <c r="A54" s="8" t="s">
        <v>59</v>
      </c>
      <c r="B54" s="8" t="s">
        <v>246</v>
      </c>
      <c r="C54" s="10" t="str">
        <f aca="false">IF(COUNTIF(Preguntas!$J$6:$J$360,A54)&gt;0,"Sí","No")</f>
        <v>Sí</v>
      </c>
    </row>
    <row r="55" customFormat="false" ht="15" hidden="false" customHeight="false" outlineLevel="0" collapsed="false">
      <c r="A55" s="8" t="s">
        <v>133</v>
      </c>
      <c r="B55" s="8" t="s">
        <v>247</v>
      </c>
      <c r="C55" s="10" t="str">
        <f aca="false">IF(COUNTIF(Preguntas!$J$6:$J$360,A55)&gt;0,"Sí","No")</f>
        <v>Sí</v>
      </c>
    </row>
    <row r="56" customFormat="false" ht="15" hidden="false" customHeight="false" outlineLevel="0" collapsed="false">
      <c r="A56" s="8" t="s">
        <v>61</v>
      </c>
      <c r="B56" s="8" t="s">
        <v>247</v>
      </c>
      <c r="C56" s="10" t="str">
        <f aca="false">IF(COUNTIF(Preguntas!$J$6:$J$360,A56)&gt;0,"Sí","No")</f>
        <v>Sí</v>
      </c>
    </row>
    <row r="57" customFormat="false" ht="15" hidden="false" customHeight="false" outlineLevel="0" collapsed="false">
      <c r="A57" s="8" t="s">
        <v>248</v>
      </c>
      <c r="B57" s="8" t="s">
        <v>249</v>
      </c>
      <c r="C57" s="10" t="str">
        <f aca="false">IF(COUNTIF(Preguntas!$J$6:$J$360,A57)&gt;0,"Sí","No")</f>
        <v>No</v>
      </c>
    </row>
    <row r="58" customFormat="false" ht="15" hidden="false" customHeight="false" outlineLevel="0" collapsed="false">
      <c r="A58" s="8" t="s">
        <v>250</v>
      </c>
      <c r="B58" s="8" t="s">
        <v>251</v>
      </c>
      <c r="C58" s="10" t="str">
        <f aca="false">IF(COUNTIF(Preguntas!$J$6:$J$360,A58)&gt;0,"Sí","No")</f>
        <v>No</v>
      </c>
    </row>
    <row r="59" customFormat="false" ht="15" hidden="false" customHeight="false" outlineLevel="0" collapsed="false">
      <c r="A59" s="8" t="s">
        <v>136</v>
      </c>
      <c r="B59" s="8" t="s">
        <v>252</v>
      </c>
      <c r="C59" s="10" t="str">
        <f aca="false">IF(COUNTIF(Preguntas!$J$6:$J$360,A59)&gt;0,"Sí","No")</f>
        <v>Sí</v>
      </c>
    </row>
    <row r="60" customFormat="false" ht="15" hidden="false" customHeight="false" outlineLevel="0" collapsed="false">
      <c r="A60" s="8" t="s">
        <v>253</v>
      </c>
      <c r="B60" s="8"/>
      <c r="C60" s="10" t="str">
        <f aca="false">IF(COUNTIF(Preguntas!$J$6:$J$360,A60)&gt;0,"Sí","No")</f>
        <v>No</v>
      </c>
    </row>
    <row r="61" customFormat="false" ht="15" hidden="false" customHeight="false" outlineLevel="0" collapsed="false">
      <c r="A61" s="8" t="s">
        <v>254</v>
      </c>
      <c r="B61" s="8"/>
      <c r="C61" s="10" t="str">
        <f aca="false">IF(COUNTIF(Preguntas!$J$6:$J$360,A61)&gt;0,"Sí","No")</f>
        <v>No</v>
      </c>
    </row>
    <row r="62" customFormat="false" ht="15" hidden="false" customHeight="false" outlineLevel="0" collapsed="false">
      <c r="A62" s="8" t="s">
        <v>255</v>
      </c>
      <c r="B62" s="8"/>
      <c r="C62" s="10" t="str">
        <f aca="false">IF(COUNTIF(Preguntas!$J$6:$J$360,A62)&gt;0,"Sí","No")</f>
        <v>No</v>
      </c>
    </row>
    <row r="63" customFormat="false" ht="15" hidden="false" customHeight="false" outlineLevel="0" collapsed="false">
      <c r="A63" s="8" t="s">
        <v>256</v>
      </c>
      <c r="B63" s="8"/>
      <c r="C63" s="10" t="str">
        <f aca="false">IF(COUNTIF(Preguntas!$J$6:$J$360,A63)&gt;0,"Sí","No")</f>
        <v>No</v>
      </c>
    </row>
    <row r="64" customFormat="false" ht="15" hidden="false" customHeight="false" outlineLevel="0" collapsed="false">
      <c r="A64" s="8" t="s">
        <v>257</v>
      </c>
      <c r="B64" s="8"/>
      <c r="C64" s="10" t="str">
        <f aca="false">IF(COUNTIF(Preguntas!$J$6:$J$360,A64)&gt;0,"Sí","No")</f>
        <v>No</v>
      </c>
    </row>
    <row r="65" customFormat="false" ht="15" hidden="false" customHeight="false" outlineLevel="0" collapsed="false">
      <c r="A65" s="8" t="s">
        <v>258</v>
      </c>
      <c r="B65" s="8" t="s">
        <v>26</v>
      </c>
      <c r="C65" s="10" t="str">
        <f aca="false">IF(COUNTIF(Preguntas!$J$6:$J$360,A65)&gt;0,"Sí","No")</f>
        <v>No</v>
      </c>
    </row>
    <row r="66" customFormat="false" ht="15" hidden="false" customHeight="false" outlineLevel="0" collapsed="false">
      <c r="A66" s="8" t="s">
        <v>259</v>
      </c>
      <c r="B66" s="8" t="s">
        <v>233</v>
      </c>
      <c r="C66" s="10" t="str">
        <f aca="false">IF(COUNTIF(Preguntas!$J$6:$J$360,A66)&gt;0,"Sí","No")</f>
        <v>No</v>
      </c>
    </row>
    <row r="67" customFormat="false" ht="15" hidden="false" customHeight="false" outlineLevel="0" collapsed="false">
      <c r="A67" s="8" t="s">
        <v>142</v>
      </c>
      <c r="B67" s="8" t="s">
        <v>260</v>
      </c>
      <c r="C67" s="10" t="str">
        <f aca="false">IF(COUNTIF(Preguntas!$J$6:$J$360,A67)&gt;0,"Sí","No")</f>
        <v>Sí</v>
      </c>
    </row>
    <row r="68" customFormat="false" ht="15" hidden="false" customHeight="false" outlineLevel="0" collapsed="false">
      <c r="A68" s="8" t="s">
        <v>144</v>
      </c>
      <c r="B68" s="8" t="s">
        <v>260</v>
      </c>
      <c r="C68" s="10" t="str">
        <f aca="false">IF(COUNTIF(Preguntas!$J$6:$J$360,A68)&gt;0,"Sí","No")</f>
        <v>Sí</v>
      </c>
    </row>
    <row r="69" customFormat="false" ht="15" hidden="false" customHeight="false" outlineLevel="0" collapsed="false">
      <c r="A69" s="8" t="s">
        <v>147</v>
      </c>
      <c r="B69" s="8" t="s">
        <v>260</v>
      </c>
      <c r="C69" s="10" t="str">
        <f aca="false">IF(COUNTIF(Preguntas!$J$6:$J$360,A69)&gt;0,"Sí","No")</f>
        <v>Sí</v>
      </c>
    </row>
    <row r="70" customFormat="false" ht="15" hidden="false" customHeight="false" outlineLevel="0" collapsed="false">
      <c r="A70" s="8" t="s">
        <v>70</v>
      </c>
      <c r="B70" s="8" t="s">
        <v>201</v>
      </c>
      <c r="C70" s="10" t="str">
        <f aca="false">IF(COUNTIF(Preguntas!$J$6:$J$360,A70)&gt;0,"Sí","No")</f>
        <v>Sí</v>
      </c>
    </row>
    <row r="71" customFormat="false" ht="15" hidden="false" customHeight="false" outlineLevel="0" collapsed="false">
      <c r="A71" s="8" t="s">
        <v>72</v>
      </c>
      <c r="B71" s="8" t="s">
        <v>261</v>
      </c>
      <c r="C71" s="10" t="str">
        <f aca="false">IF(COUNTIF(Preguntas!$J$6:$J$360,A71)&gt;0,"Sí","No")</f>
        <v>Sí</v>
      </c>
    </row>
    <row r="72" customFormat="false" ht="15" hidden="false" customHeight="false" outlineLevel="0" collapsed="false">
      <c r="A72" s="8" t="s">
        <v>74</v>
      </c>
      <c r="B72" s="8" t="s">
        <v>262</v>
      </c>
      <c r="C72" s="10" t="str">
        <f aca="false">IF(COUNTIF(Preguntas!$J$6:$J$360,A72)&gt;0,"Sí","No")</f>
        <v>Sí</v>
      </c>
    </row>
    <row r="73" customFormat="false" ht="15" hidden="false" customHeight="false" outlineLevel="0" collapsed="false">
      <c r="A73" s="8" t="s">
        <v>151</v>
      </c>
      <c r="B73" s="8" t="s">
        <v>263</v>
      </c>
      <c r="C73" s="10" t="str">
        <f aca="false">IF(COUNTIF(Preguntas!$J$6:$J$360,A73)&gt;0,"Sí","No")</f>
        <v>Sí</v>
      </c>
    </row>
    <row r="74" customFormat="false" ht="15" hidden="false" customHeight="false" outlineLevel="0" collapsed="false">
      <c r="A74" s="8" t="s">
        <v>264</v>
      </c>
      <c r="B74" s="8" t="s">
        <v>265</v>
      </c>
      <c r="C74" s="10" t="str">
        <f aca="false">IF(COUNTIF(Preguntas!$J$6:$J$360,A74)&gt;0,"Sí","No")</f>
        <v>No</v>
      </c>
    </row>
    <row r="75" customFormat="false" ht="15" hidden="false" customHeight="false" outlineLevel="0" collapsed="false">
      <c r="A75" s="8" t="s">
        <v>266</v>
      </c>
      <c r="B75" s="8" t="s">
        <v>267</v>
      </c>
      <c r="C75" s="10" t="str">
        <f aca="false">IF(COUNTIF(Preguntas!$J$6:$J$360,A75)&gt;0,"Sí","No")</f>
        <v>No</v>
      </c>
    </row>
    <row r="76" customFormat="false" ht="15" hidden="false" customHeight="false" outlineLevel="0" collapsed="false">
      <c r="A76" s="8" t="s">
        <v>268</v>
      </c>
      <c r="B76" s="8" t="s">
        <v>269</v>
      </c>
      <c r="C76" s="10" t="str">
        <f aca="false">IF(COUNTIF(Preguntas!$J$6:$J$360,A76)&gt;0,"Sí","No")</f>
        <v>No</v>
      </c>
    </row>
    <row r="77" customFormat="false" ht="15" hidden="false" customHeight="false" outlineLevel="0" collapsed="false">
      <c r="A77" s="8" t="s">
        <v>156</v>
      </c>
      <c r="B77" s="8" t="s">
        <v>270</v>
      </c>
      <c r="C77" s="10" t="str">
        <f aca="false">IF(COUNTIF(Preguntas!$J$6:$J$360,A77)&gt;0,"Sí","No")</f>
        <v>Sí</v>
      </c>
    </row>
    <row r="78" customFormat="false" ht="15" hidden="false" customHeight="false" outlineLevel="0" collapsed="false">
      <c r="A78" s="8" t="s">
        <v>271</v>
      </c>
      <c r="B78" s="8" t="s">
        <v>270</v>
      </c>
      <c r="C78" s="10" t="str">
        <f aca="false">IF(COUNTIF(Preguntas!$J$6:$J$360,A78)&gt;0,"Sí","No")</f>
        <v>No</v>
      </c>
    </row>
    <row r="79" customFormat="false" ht="15" hidden="false" customHeight="false" outlineLevel="0" collapsed="false">
      <c r="A79" s="8" t="s">
        <v>159</v>
      </c>
      <c r="B79" s="8" t="s">
        <v>270</v>
      </c>
      <c r="C79" s="10" t="str">
        <f aca="false">IF(COUNTIF(Preguntas!$J$6:$J$360,A79)&gt;0,"Sí","No")</f>
        <v>Sí</v>
      </c>
    </row>
    <row r="80" customFormat="false" ht="15" hidden="false" customHeight="false" outlineLevel="0" collapsed="false">
      <c r="A80" s="8" t="s">
        <v>272</v>
      </c>
      <c r="B80" s="8" t="s">
        <v>273</v>
      </c>
      <c r="C80" s="10" t="str">
        <f aca="false">IF(COUNTIF(Preguntas!$J$6:$J$360,A80)&gt;0,"Sí","No")</f>
        <v>No</v>
      </c>
    </row>
    <row r="81" customFormat="false" ht="23.85" hidden="false" customHeight="false" outlineLevel="0" collapsed="false">
      <c r="A81" s="8" t="s">
        <v>163</v>
      </c>
      <c r="B81" s="8" t="s">
        <v>274</v>
      </c>
      <c r="C81" s="10" t="str">
        <f aca="false">IF(COUNTIF(Preguntas!$J$6:$J$360,A81)&gt;0,"Sí","No")</f>
        <v>Sí</v>
      </c>
    </row>
    <row r="82" customFormat="false" ht="23.85" hidden="false" customHeight="false" outlineLevel="0" collapsed="false">
      <c r="A82" s="8" t="s">
        <v>166</v>
      </c>
      <c r="B82" s="8" t="s">
        <v>275</v>
      </c>
      <c r="C82" s="10" t="str">
        <f aca="false">IF(COUNTIF(Preguntas!$J$6:$J$360,A82)&gt;0,"Sí","No")</f>
        <v>Sí</v>
      </c>
    </row>
    <row r="83" customFormat="false" ht="23.85" hidden="false" customHeight="false" outlineLevel="0" collapsed="false">
      <c r="A83" s="8" t="s">
        <v>168</v>
      </c>
      <c r="B83" s="8" t="s">
        <v>276</v>
      </c>
      <c r="C83" s="10" t="str">
        <f aca="false">IF(COUNTIF(Preguntas!$J$6:$J$360,A83)&gt;0,"Sí","No")</f>
        <v>Sí</v>
      </c>
    </row>
    <row r="84" customFormat="false" ht="23.85" hidden="false" customHeight="false" outlineLevel="0" collapsed="false">
      <c r="A84" s="8" t="s">
        <v>170</v>
      </c>
      <c r="B84" s="8" t="s">
        <v>277</v>
      </c>
      <c r="C84" s="10" t="str">
        <f aca="false">IF(COUNTIF(Preguntas!$J$6:$J$360,A84)&gt;0,"Sí","No")</f>
        <v>Sí</v>
      </c>
    </row>
    <row r="85" customFormat="false" ht="23.85" hidden="false" customHeight="false" outlineLevel="0" collapsed="false">
      <c r="A85" s="8" t="s">
        <v>173</v>
      </c>
      <c r="B85" s="8" t="s">
        <v>278</v>
      </c>
      <c r="C85" s="10" t="str">
        <f aca="false">IF(COUNTIF(Preguntas!$J$6:$J$360,A85)&gt;0,"Sí","No")</f>
        <v>Sí</v>
      </c>
    </row>
    <row r="86" customFormat="false" ht="23.85" hidden="false" customHeight="false" outlineLevel="0" collapsed="false">
      <c r="A86" s="8" t="s">
        <v>175</v>
      </c>
      <c r="B86" s="8" t="s">
        <v>279</v>
      </c>
      <c r="C86" s="10" t="str">
        <f aca="false">IF(COUNTIF(Preguntas!$J$6:$J$360,A86)&gt;0,"Sí","No")</f>
        <v>Sí</v>
      </c>
    </row>
    <row r="87" customFormat="false" ht="23.85" hidden="false" customHeight="false" outlineLevel="0" collapsed="false">
      <c r="A87" s="8" t="s">
        <v>280</v>
      </c>
      <c r="B87" s="8" t="s">
        <v>281</v>
      </c>
      <c r="C87" s="10" t="str">
        <f aca="false">IF(COUNTIF(Preguntas!$J$6:$J$360,A87)&gt;0,"Sí","No")</f>
        <v>No</v>
      </c>
    </row>
  </sheetData>
  <autoFilter ref="A4:C87"/>
  <conditionalFormatting sqref="C5:C87">
    <cfRule type="expression" priority="2" aboveAverage="0" equalAverage="0" bottom="0" percent="0" rank="0" text="" dxfId="30">
      <formula>C5="Sí"</formula>
    </cfRule>
    <cfRule type="expression" priority="3" aboveAverage="0" equalAverage="0" bottom="0" percent="0" rank="0" text="" dxfId="31">
      <formula>C5="No"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6"/>
  </cols>
  <sheetData>
    <row r="1" customFormat="false" ht="31.5" hidden="false" customHeight="true" outlineLevel="0" collapsed="false">
      <c r="A1" s="3" t="s">
        <v>282</v>
      </c>
      <c r="B1" s="3" t="s">
        <v>283</v>
      </c>
      <c r="C1" s="3" t="s">
        <v>284</v>
      </c>
    </row>
    <row r="2" customFormat="false" ht="15" hidden="false" customHeight="false" outlineLevel="0" collapsed="false">
      <c r="A2" s="11" t="s">
        <v>3</v>
      </c>
      <c r="B2" s="8" t="s">
        <v>285</v>
      </c>
      <c r="C2" s="8" t="s">
        <v>286</v>
      </c>
    </row>
    <row r="3" customFormat="false" ht="15" hidden="false" customHeight="false" outlineLevel="0" collapsed="false">
      <c r="A3" s="11" t="s">
        <v>4</v>
      </c>
      <c r="B3" s="8" t="s">
        <v>287</v>
      </c>
      <c r="C3" s="8" t="s">
        <v>3</v>
      </c>
    </row>
    <row r="4" customFormat="false" ht="15" hidden="false" customHeight="false" outlineLevel="0" collapsed="false">
      <c r="A4" s="11" t="s">
        <v>5</v>
      </c>
      <c r="B4" s="8" t="s">
        <v>288</v>
      </c>
      <c r="C4" s="8" t="s">
        <v>289</v>
      </c>
    </row>
    <row r="5" customFormat="false" ht="15" hidden="false" customHeight="false" outlineLevel="0" collapsed="false">
      <c r="A5" s="11" t="s">
        <v>6</v>
      </c>
      <c r="B5" s="8" t="s">
        <v>290</v>
      </c>
      <c r="C5" s="8" t="s">
        <v>291</v>
      </c>
    </row>
    <row r="6" customFormat="false" ht="23.85" hidden="false" customHeight="false" outlineLevel="0" collapsed="false">
      <c r="A6" s="11" t="s">
        <v>7</v>
      </c>
      <c r="B6" s="8" t="s">
        <v>292</v>
      </c>
      <c r="C6" s="8" t="s">
        <v>293</v>
      </c>
    </row>
    <row r="7" customFormat="false" ht="15" hidden="false" customHeight="false" outlineLevel="0" collapsed="false">
      <c r="A7" s="11" t="s">
        <v>8</v>
      </c>
      <c r="B7" s="8" t="s">
        <v>294</v>
      </c>
      <c r="C7" s="8" t="s">
        <v>295</v>
      </c>
    </row>
    <row r="8" customFormat="false" ht="23.85" hidden="false" customHeight="false" outlineLevel="0" collapsed="false">
      <c r="A8" s="11" t="s">
        <v>296</v>
      </c>
      <c r="B8" s="8" t="s">
        <v>297</v>
      </c>
      <c r="C8" s="8" t="s">
        <v>298</v>
      </c>
    </row>
    <row r="9" customFormat="false" ht="23.85" hidden="false" customHeight="false" outlineLevel="0" collapsed="false">
      <c r="A9" s="11" t="s">
        <v>11</v>
      </c>
      <c r="B9" s="8" t="s">
        <v>299</v>
      </c>
      <c r="C9" s="8" t="s">
        <v>300</v>
      </c>
    </row>
    <row r="10" customFormat="false" ht="15" hidden="false" customHeight="false" outlineLevel="0" collapsed="false">
      <c r="A10" s="11" t="s">
        <v>12</v>
      </c>
      <c r="B10" s="8" t="s">
        <v>301</v>
      </c>
      <c r="C10" s="8" t="s">
        <v>302</v>
      </c>
    </row>
    <row r="11" customFormat="false" ht="15" hidden="false" customHeight="false" outlineLevel="0" collapsed="false">
      <c r="A11" s="11" t="s">
        <v>13</v>
      </c>
      <c r="B11" s="8" t="s">
        <v>303</v>
      </c>
      <c r="C11" s="8"/>
    </row>
    <row r="12" customFormat="false" ht="15" hidden="false" customHeight="false" outlineLevel="0" collapsed="false">
      <c r="A12" s="11" t="s">
        <v>14</v>
      </c>
      <c r="B12" s="8" t="s">
        <v>304</v>
      </c>
      <c r="C12" s="8" t="s">
        <v>305</v>
      </c>
    </row>
    <row r="13" customFormat="false" ht="15" hidden="false" customHeight="false" outlineLevel="0" collapsed="false">
      <c r="A13" s="11" t="s">
        <v>15</v>
      </c>
      <c r="B13" s="8" t="s">
        <v>306</v>
      </c>
      <c r="C13" s="8" t="s">
        <v>300</v>
      </c>
    </row>
    <row r="14" customFormat="false" ht="15" hidden="false" customHeight="false" outlineLevel="0" collapsed="false">
      <c r="A14" s="11" t="s">
        <v>16</v>
      </c>
      <c r="B14" s="8" t="s">
        <v>307</v>
      </c>
      <c r="C14" s="8"/>
    </row>
    <row r="15" customFormat="false" ht="15" hidden="false" customHeight="false" outlineLevel="0" collapsed="false">
      <c r="A15" s="11" t="s">
        <v>18</v>
      </c>
      <c r="B15" s="8" t="s">
        <v>308</v>
      </c>
      <c r="C15" s="8"/>
    </row>
    <row r="16" customFormat="false" ht="15" hidden="false" customHeight="false" outlineLevel="0" collapsed="false">
      <c r="A16" s="11" t="s">
        <v>309</v>
      </c>
      <c r="B16" s="8" t="s">
        <v>310</v>
      </c>
      <c r="C16" s="8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4</v>
      </c>
      <c r="D1" s="0" t="s">
        <v>312</v>
      </c>
    </row>
    <row r="2" customFormat="false" ht="15" hidden="false" customHeight="false" outlineLevel="0" collapsed="false">
      <c r="A2" s="0" t="s">
        <v>21</v>
      </c>
      <c r="B2" s="0" t="s">
        <v>22</v>
      </c>
      <c r="D2" s="0" t="s">
        <v>21</v>
      </c>
    </row>
    <row r="3" customFormat="false" ht="15" hidden="false" customHeight="false" outlineLevel="0" collapsed="false">
      <c r="A3" s="0" t="s">
        <v>21</v>
      </c>
      <c r="B3" s="0" t="s">
        <v>50</v>
      </c>
      <c r="D3" s="0" t="s">
        <v>75</v>
      </c>
    </row>
    <row r="4" customFormat="false" ht="15" hidden="false" customHeight="false" outlineLevel="0" collapsed="false">
      <c r="A4" s="0" t="s">
        <v>21</v>
      </c>
      <c r="B4" s="0" t="s">
        <v>68</v>
      </c>
      <c r="D4" s="0" t="s">
        <v>85</v>
      </c>
    </row>
    <row r="5" customFormat="false" ht="15" hidden="false" customHeight="false" outlineLevel="0" collapsed="false">
      <c r="A5" s="0" t="s">
        <v>75</v>
      </c>
      <c r="B5" s="0" t="s">
        <v>76</v>
      </c>
      <c r="D5" s="0" t="s">
        <v>313</v>
      </c>
    </row>
    <row r="6" customFormat="false" ht="15" hidden="false" customHeight="false" outlineLevel="0" collapsed="false">
      <c r="A6" s="0" t="s">
        <v>85</v>
      </c>
      <c r="B6" s="0" t="s">
        <v>86</v>
      </c>
      <c r="D6" s="0" t="s">
        <v>108</v>
      </c>
    </row>
    <row r="7" customFormat="false" ht="15" hidden="false" customHeight="false" outlineLevel="0" collapsed="false">
      <c r="A7" s="0" t="s">
        <v>85</v>
      </c>
      <c r="B7" s="0" t="s">
        <v>93</v>
      </c>
      <c r="D7" s="0" t="s">
        <v>314</v>
      </c>
    </row>
    <row r="8" customFormat="false" ht="15" hidden="false" customHeight="false" outlineLevel="0" collapsed="false">
      <c r="A8" s="0" t="s">
        <v>85</v>
      </c>
      <c r="B8" s="0" t="s">
        <v>101</v>
      </c>
      <c r="D8" s="0" t="s">
        <v>315</v>
      </c>
    </row>
    <row r="9" customFormat="false" ht="15" hidden="false" customHeight="false" outlineLevel="0" collapsed="false">
      <c r="A9" s="0" t="s">
        <v>313</v>
      </c>
      <c r="B9" s="0" t="s">
        <v>316</v>
      </c>
      <c r="D9" s="0" t="s">
        <v>160</v>
      </c>
    </row>
    <row r="10" customFormat="false" ht="15" hidden="false" customHeight="false" outlineLevel="0" collapsed="false">
      <c r="A10" s="0" t="s">
        <v>313</v>
      </c>
      <c r="B10" s="0" t="s">
        <v>140</v>
      </c>
      <c r="D10" s="0" t="s">
        <v>177</v>
      </c>
    </row>
    <row r="11" customFormat="false" ht="15" hidden="false" customHeight="false" outlineLevel="0" collapsed="false">
      <c r="A11" s="0" t="s">
        <v>108</v>
      </c>
      <c r="B11" s="0" t="s">
        <v>109</v>
      </c>
    </row>
    <row r="12" customFormat="false" ht="15" hidden="false" customHeight="false" outlineLevel="0" collapsed="false">
      <c r="A12" s="0" t="s">
        <v>108</v>
      </c>
      <c r="B12" s="0" t="s">
        <v>140</v>
      </c>
    </row>
    <row r="13" customFormat="false" ht="15" hidden="false" customHeight="false" outlineLevel="0" collapsed="false">
      <c r="A13" s="0" t="s">
        <v>108</v>
      </c>
      <c r="B13" s="0" t="s">
        <v>153</v>
      </c>
    </row>
    <row r="14" customFormat="false" ht="15" hidden="false" customHeight="false" outlineLevel="0" collapsed="false">
      <c r="A14" s="0" t="s">
        <v>314</v>
      </c>
      <c r="B14" s="0" t="s">
        <v>317</v>
      </c>
    </row>
    <row r="15" customFormat="false" ht="15" hidden="false" customHeight="false" outlineLevel="0" collapsed="false">
      <c r="A15" s="0" t="s">
        <v>314</v>
      </c>
      <c r="B15" s="0" t="s">
        <v>140</v>
      </c>
    </row>
    <row r="16" customFormat="false" ht="15" hidden="false" customHeight="false" outlineLevel="0" collapsed="false">
      <c r="A16" s="0" t="s">
        <v>315</v>
      </c>
      <c r="B16" s="0" t="s">
        <v>318</v>
      </c>
    </row>
    <row r="17" customFormat="false" ht="15" hidden="false" customHeight="false" outlineLevel="0" collapsed="false">
      <c r="A17" s="0" t="s">
        <v>315</v>
      </c>
      <c r="B17" s="0" t="s">
        <v>140</v>
      </c>
    </row>
    <row r="18" customFormat="false" ht="15" hidden="false" customHeight="false" outlineLevel="0" collapsed="false">
      <c r="A18" s="0" t="s">
        <v>160</v>
      </c>
      <c r="B18" s="0" t="s">
        <v>160</v>
      </c>
    </row>
    <row r="19" customFormat="false" ht="15" hidden="false" customHeight="false" outlineLevel="0" collapsed="false">
      <c r="A19" s="0" t="s">
        <v>160</v>
      </c>
      <c r="B19" s="0" t="s">
        <v>161</v>
      </c>
    </row>
    <row r="20" customFormat="false" ht="15" hidden="false" customHeight="false" outlineLevel="0" collapsed="false">
      <c r="A20" s="0" t="s">
        <v>160</v>
      </c>
      <c r="B20" s="0" t="s">
        <v>319</v>
      </c>
    </row>
    <row r="21" customFormat="false" ht="15" hidden="false" customHeight="false" outlineLevel="0" collapsed="false">
      <c r="A21" s="0" t="s">
        <v>160</v>
      </c>
      <c r="B21" s="0" t="s">
        <v>320</v>
      </c>
    </row>
    <row r="22" customFormat="false" ht="15" hidden="false" customHeight="false" outlineLevel="0" collapsed="false">
      <c r="A22" s="0" t="s">
        <v>177</v>
      </c>
      <c r="B22" s="0" t="s">
        <v>178</v>
      </c>
    </row>
    <row r="23" customFormat="false" ht="15" hidden="false" customHeight="false" outlineLevel="0" collapsed="false">
      <c r="A23" s="0" t="s">
        <v>177</v>
      </c>
      <c r="B23" s="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2026-10-07T07:58:53Z</dcterms:created>
  <dc:creator>openpyxl</dc:creator>
  <dc:description/>
  <dc:language>en-US</dc:language>
  <cp:lastModifiedBy/>
  <dcterms:modified xsi:type="dcterms:W3CDTF">2026-10-07T07:58:53Z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